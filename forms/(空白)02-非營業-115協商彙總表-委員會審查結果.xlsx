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172.16.250.24\基金預算處\115朝野協商\3)非營業\2)提案彙總表\分組審查\"/>
    </mc:Choice>
  </mc:AlternateContent>
  <xr:revisionPtr revIDLastSave="0" documentId="13_ncr:1_{3D5DAAC5-9EAB-4948-8A1C-948EAA948C30}" xr6:coauthVersionLast="47" xr6:coauthVersionMax="47" xr10:uidLastSave="{00000000-0000-0000-0000-000000000000}"/>
  <bookViews>
    <workbookView xWindow="-120" yWindow="-120" windowWidth="29040" windowHeight="15720" xr2:uid="{00000000-000D-0000-FFFF-FFFF00000000}"/>
  </bookViews>
  <sheets>
    <sheet name="115請查填" sheetId="54" r:id="rId1"/>
    <sheet name="114供參" sheetId="56" r:id="rId2"/>
    <sheet name="113供參" sheetId="55" r:id="rId3"/>
    <sheet name="112供參" sheetId="53" r:id="rId4"/>
  </sheets>
  <definedNames>
    <definedName name="_xlnm._FilterDatabase" localSheetId="3" hidden="1">'112供參'!$A$6:$U$14</definedName>
    <definedName name="_xlnm._FilterDatabase" localSheetId="2" hidden="1">'113供參'!$A$6:$U$14</definedName>
    <definedName name="_xlnm._FilterDatabase" localSheetId="1" hidden="1">'114供參'!$A$6:$U$119</definedName>
    <definedName name="_xlnm._FilterDatabase" localSheetId="0" hidden="1">'115請查填'!$A$6:$U$15</definedName>
    <definedName name="_xlnm.Print_Area" localSheetId="3">'112供參'!$A$1:$U$17</definedName>
    <definedName name="_xlnm.Print_Area" localSheetId="1">'114供參'!$A$1:$U$114</definedName>
    <definedName name="_xlnm.Print_Area" localSheetId="0">'115請查填'!$A$1:$U$23</definedName>
    <definedName name="_xlnm.Print_Titles" localSheetId="3">'112供參'!$1:$6</definedName>
    <definedName name="_xlnm.Print_Titles" localSheetId="2">'113供參'!$1:$6</definedName>
    <definedName name="_xlnm.Print_Titles" localSheetId="1">'114供參'!$1:$6</definedName>
    <definedName name="_xlnm.Print_Titles" localSheetId="0">'115請查填'!$1:$6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9" i="54" l="1"/>
  <c r="R9" i="54"/>
  <c r="S90" i="56"/>
  <c r="R90" i="56"/>
  <c r="Q90" i="56"/>
  <c r="P90" i="56"/>
  <c r="O90" i="56"/>
  <c r="N90" i="56"/>
  <c r="M90" i="56"/>
  <c r="L90" i="56"/>
  <c r="K90" i="56"/>
  <c r="S12" i="56"/>
  <c r="S11" i="56" s="1"/>
  <c r="R12" i="56"/>
  <c r="R11" i="56" s="1"/>
  <c r="Q12" i="56"/>
  <c r="Q11" i="56" s="1"/>
  <c r="P12" i="56"/>
  <c r="P11" i="56" s="1"/>
  <c r="O12" i="56"/>
  <c r="O11" i="56" s="1"/>
  <c r="N12" i="56"/>
  <c r="N11" i="56" s="1"/>
  <c r="M12" i="56"/>
  <c r="M11" i="56" s="1"/>
  <c r="L12" i="56"/>
  <c r="L11" i="56" s="1"/>
  <c r="K12" i="56"/>
  <c r="K11" i="56"/>
  <c r="S9" i="56"/>
  <c r="S8" i="56" s="1"/>
  <c r="R9" i="56"/>
  <c r="R8" i="56" s="1"/>
  <c r="Q9" i="56"/>
  <c r="Q8" i="56" s="1"/>
  <c r="P9" i="56"/>
  <c r="P8" i="56" s="1"/>
  <c r="O9" i="56"/>
  <c r="O8" i="56" s="1"/>
  <c r="N9" i="56"/>
  <c r="N8" i="56" s="1"/>
  <c r="M9" i="56"/>
  <c r="M8" i="56" s="1"/>
  <c r="L9" i="56"/>
  <c r="K9" i="56"/>
  <c r="L8" i="56"/>
  <c r="L7" i="56" s="1"/>
  <c r="K8" i="56"/>
  <c r="K7" i="56" s="1"/>
  <c r="O7" i="56" l="1"/>
  <c r="Q7" i="56"/>
  <c r="M7" i="56"/>
  <c r="N7" i="56"/>
  <c r="P7" i="56"/>
  <c r="R7" i="56"/>
  <c r="S7" i="56"/>
  <c r="U20" i="55"/>
  <c r="S20" i="55"/>
  <c r="R20" i="55"/>
  <c r="Q20" i="55"/>
  <c r="P20" i="55"/>
  <c r="O20" i="55"/>
  <c r="N20" i="55"/>
  <c r="N13" i="55" s="1"/>
  <c r="M20" i="55"/>
  <c r="M13" i="55" s="1"/>
  <c r="L20" i="55"/>
  <c r="K20" i="55"/>
  <c r="U13" i="55"/>
  <c r="S13" i="55"/>
  <c r="R13" i="55"/>
  <c r="Q13" i="55"/>
  <c r="P13" i="55"/>
  <c r="P7" i="55" s="1"/>
  <c r="O13" i="55"/>
  <c r="O9" i="55" s="1"/>
  <c r="L13" i="55"/>
  <c r="K13" i="55"/>
  <c r="U9" i="55"/>
  <c r="S9" i="55"/>
  <c r="R9" i="55"/>
  <c r="Q9" i="55"/>
  <c r="L9" i="55"/>
  <c r="K9" i="55"/>
  <c r="S7" i="55"/>
  <c r="R7" i="55"/>
  <c r="Q7" i="55"/>
  <c r="L7" i="55"/>
  <c r="K7" i="55"/>
  <c r="M7" i="55" l="1"/>
  <c r="M9" i="55"/>
  <c r="N9" i="55"/>
  <c r="N7" i="55"/>
  <c r="O7" i="55"/>
  <c r="U17" i="54" l="1"/>
  <c r="S17" i="54"/>
  <c r="S14" i="54" s="1"/>
  <c r="S7" i="54" s="1"/>
  <c r="R17" i="54"/>
  <c r="Q17" i="54"/>
  <c r="Q14" i="54" s="1"/>
  <c r="Q7" i="54" s="1"/>
  <c r="P17" i="54"/>
  <c r="O17" i="54"/>
  <c r="O14" i="54" s="1"/>
  <c r="N17" i="54"/>
  <c r="N14" i="54" s="1"/>
  <c r="M17" i="54"/>
  <c r="M14" i="54" s="1"/>
  <c r="M9" i="54" s="1"/>
  <c r="L17" i="54"/>
  <c r="K17" i="54"/>
  <c r="K14" i="54" s="1"/>
  <c r="K7" i="54" s="1"/>
  <c r="U14" i="54"/>
  <c r="R14" i="54"/>
  <c r="P14" i="54"/>
  <c r="L14" i="54"/>
  <c r="L9" i="54" s="1"/>
  <c r="U9" i="54"/>
  <c r="R7" i="54" l="1"/>
  <c r="P7" i="54"/>
  <c r="L7" i="54"/>
  <c r="K9" i="54"/>
  <c r="M7" i="54"/>
  <c r="N9" i="54"/>
  <c r="N7" i="54"/>
  <c r="O9" i="54"/>
  <c r="O7" i="54"/>
  <c r="Q9" i="54"/>
  <c r="S9" i="53"/>
  <c r="P12" i="53"/>
  <c r="U16" i="53" l="1"/>
  <c r="S16" i="53"/>
  <c r="R16" i="53"/>
  <c r="Q16" i="53"/>
  <c r="P16" i="53"/>
  <c r="O16" i="53"/>
  <c r="N16" i="53"/>
  <c r="M16" i="53"/>
  <c r="L16" i="53"/>
  <c r="K16" i="53"/>
  <c r="U12" i="53" l="1"/>
  <c r="S12" i="53"/>
  <c r="R12" i="53"/>
  <c r="Q12" i="53"/>
  <c r="O12" i="53"/>
  <c r="N12" i="53"/>
  <c r="M12" i="53"/>
  <c r="L12" i="53"/>
  <c r="K12" i="53"/>
  <c r="Q7" i="53" l="1"/>
  <c r="L7" i="53"/>
  <c r="M7" i="53"/>
  <c r="R7" i="53"/>
  <c r="S7" i="53"/>
  <c r="L9" i="53"/>
  <c r="M9" i="53"/>
  <c r="N9" i="53"/>
  <c r="O9" i="53"/>
  <c r="Q9" i="53"/>
  <c r="R9" i="53"/>
  <c r="K9" i="53"/>
  <c r="U9" i="53"/>
  <c r="N7" i="53" l="1"/>
  <c r="O7" i="53"/>
  <c r="K7" i="53"/>
  <c r="P7" i="53"/>
  <c r="P9" i="54"/>
  <c r="P9" i="55"/>
  <c r="P9" i="53"/>
</calcChain>
</file>

<file path=xl/sharedStrings.xml><?xml version="1.0" encoding="utf-8"?>
<sst xmlns="http://schemas.openxmlformats.org/spreadsheetml/2006/main" count="862" uniqueCount="432">
  <si>
    <r>
      <rPr>
        <sz val="14"/>
        <rFont val="標楷體"/>
        <family val="4"/>
        <charset val="136"/>
      </rPr>
      <t>單位：千元</t>
    </r>
  </si>
  <si>
    <r>
      <rPr>
        <b/>
        <sz val="14"/>
        <rFont val="標楷體"/>
        <family val="4"/>
        <charset val="136"/>
      </rPr>
      <t>合計</t>
    </r>
    <phoneticPr fontId="32" type="noConversion"/>
  </si>
  <si>
    <t>提案黨團</t>
    <phoneticPr fontId="32" type="noConversion"/>
  </si>
  <si>
    <t>增減(-)數</t>
    <phoneticPr fontId="32" type="noConversion"/>
  </si>
  <si>
    <t>凍結</t>
    <phoneticPr fontId="32" type="noConversion"/>
  </si>
  <si>
    <t>金額</t>
    <phoneticPr fontId="32" type="noConversion"/>
  </si>
  <si>
    <t>比率</t>
    <phoneticPr fontId="32" type="noConversion"/>
  </si>
  <si>
    <t>無法照案通過提案之窒礙難行說明</t>
    <phoneticPr fontId="32" type="noConversion"/>
  </si>
  <si>
    <t>拜會委員溝通情形</t>
    <phoneticPr fontId="32" type="noConversion"/>
  </si>
  <si>
    <t>已處理</t>
    <phoneticPr fontId="32" type="noConversion"/>
  </si>
  <si>
    <t>待處理</t>
    <phoneticPr fontId="32" type="noConversion"/>
  </si>
  <si>
    <t>照案通過</t>
    <phoneticPr fontId="32" type="noConversion"/>
  </si>
  <si>
    <t>修正案</t>
    <phoneticPr fontId="32" type="noConversion"/>
  </si>
  <si>
    <t>處理情形(擇一勾選)</t>
    <phoneticPr fontId="32" type="noConversion"/>
  </si>
  <si>
    <t>委員同意撤案或修正提案內容，惟黨團未蓋章</t>
    <phoneticPr fontId="32" type="noConversion"/>
  </si>
  <si>
    <t>刪減/增列</t>
    <phoneticPr fontId="32" type="noConversion"/>
  </si>
  <si>
    <t>刪減及凍結</t>
    <phoneticPr fontId="32" type="noConversion"/>
  </si>
  <si>
    <t>主決議</t>
    <phoneticPr fontId="32" type="noConversion"/>
  </si>
  <si>
    <t>待表決數</t>
    <phoneticPr fontId="32" type="noConversion"/>
  </si>
  <si>
    <t>委員會序 號</t>
  </si>
  <si>
    <t>提案
序號</t>
  </si>
  <si>
    <t>提案
委員</t>
  </si>
  <si>
    <t>提案項目內容(簡要)</t>
  </si>
  <si>
    <t>委員提案</t>
    <phoneticPr fontId="32" type="noConversion"/>
  </si>
  <si>
    <t>處理後
增減(-)數</t>
    <phoneticPr fontId="32" type="noConversion"/>
  </si>
  <si>
    <t>原提案</t>
    <phoneticPr fontId="32" type="noConversion"/>
  </si>
  <si>
    <t>改為通案</t>
    <phoneticPr fontId="32" type="noConversion"/>
  </si>
  <si>
    <t>撤案/併案</t>
    <phoneticPr fontId="32" type="noConversion"/>
  </si>
  <si>
    <r>
      <rPr>
        <sz val="14"/>
        <rFont val="標楷體"/>
        <family val="4"/>
        <charset val="136"/>
      </rPr>
      <t>委保</t>
    </r>
    <r>
      <rPr>
        <sz val="14"/>
        <rFont val="Times New Roman"/>
        <family val="1"/>
      </rPr>
      <t>1</t>
    </r>
    <phoneticPr fontId="32" type="noConversion"/>
  </si>
  <si>
    <t>民進黨團</t>
    <phoneticPr fontId="32" type="noConversion"/>
  </si>
  <si>
    <t>陳明文</t>
    <phoneticPr fontId="32" type="noConversion"/>
  </si>
  <si>
    <r>
      <rPr>
        <sz val="14"/>
        <color rgb="FF000000"/>
        <rFont val="標楷體"/>
        <family val="4"/>
        <charset val="136"/>
      </rPr>
      <t>建議國家發展委員會應比照花東與離島基金模式，設立農業縣發展基金，分</t>
    </r>
    <r>
      <rPr>
        <sz val="14"/>
        <color indexed="8"/>
        <rFont val="Times New Roman"/>
        <family val="1"/>
      </rPr>
      <t>10</t>
    </r>
    <r>
      <rPr>
        <sz val="14"/>
        <color rgb="FF000000"/>
        <rFont val="標楷體"/>
        <family val="4"/>
        <charset val="136"/>
      </rPr>
      <t>年提撥</t>
    </r>
    <r>
      <rPr>
        <sz val="14"/>
        <color indexed="8"/>
        <rFont val="Times New Roman"/>
        <family val="1"/>
      </rPr>
      <t>1,200</t>
    </r>
    <r>
      <rPr>
        <sz val="14"/>
        <color rgb="FF000000"/>
        <rFont val="標楷體"/>
        <family val="4"/>
        <charset val="136"/>
      </rPr>
      <t>億元。</t>
    </r>
    <phoneticPr fontId="32" type="noConversion"/>
  </si>
  <si>
    <r>
      <rPr>
        <sz val="14"/>
        <color rgb="FF000000"/>
        <rFont val="標楷體"/>
        <family val="4"/>
        <charset val="136"/>
      </rPr>
      <t>委保</t>
    </r>
    <r>
      <rPr>
        <sz val="14"/>
        <color rgb="FF000000"/>
        <rFont val="Times New Roman"/>
        <family val="1"/>
      </rPr>
      <t>1</t>
    </r>
    <phoneticPr fontId="32" type="noConversion"/>
  </si>
  <si>
    <r>
      <rPr>
        <sz val="14"/>
        <color indexed="8"/>
        <rFont val="標楷體"/>
        <family val="4"/>
        <charset val="136"/>
      </rPr>
      <t>考量中央政府對於自身償債能量有低估之虞，並為確保政府財政長期健全，依公共債務法第</t>
    </r>
    <r>
      <rPr>
        <sz val="14"/>
        <color indexed="8"/>
        <rFont val="Times New Roman"/>
        <family val="1"/>
      </rPr>
      <t>12</t>
    </r>
    <r>
      <rPr>
        <sz val="14"/>
        <color indexed="8"/>
        <rFont val="標楷體"/>
        <family val="4"/>
        <charset val="136"/>
      </rPr>
      <t>條之規定，提高債務還本數額至</t>
    </r>
    <r>
      <rPr>
        <sz val="14"/>
        <color indexed="8"/>
        <rFont val="Times New Roman"/>
        <family val="1"/>
      </rPr>
      <t>1,305</t>
    </r>
    <r>
      <rPr>
        <sz val="14"/>
        <color indexed="8"/>
        <rFont val="標楷體"/>
        <family val="4"/>
        <charset val="136"/>
      </rPr>
      <t>億（佔稅課收入</t>
    </r>
    <r>
      <rPr>
        <sz val="14"/>
        <color indexed="8"/>
        <rFont val="Times New Roman"/>
        <family val="1"/>
      </rPr>
      <t>6%</t>
    </r>
    <r>
      <rPr>
        <sz val="14"/>
        <color indexed="8"/>
        <rFont val="標楷體"/>
        <family val="4"/>
        <charset val="136"/>
      </rPr>
      <t>），爰提案債務還本收入增列</t>
    </r>
    <r>
      <rPr>
        <sz val="14"/>
        <color indexed="8"/>
        <rFont val="Times New Roman"/>
        <family val="1"/>
      </rPr>
      <t>195</t>
    </r>
    <r>
      <rPr>
        <sz val="14"/>
        <color indexed="8"/>
        <rFont val="標楷體"/>
        <family val="4"/>
        <charset val="136"/>
      </rPr>
      <t>億元。</t>
    </r>
    <phoneticPr fontId="32" type="noConversion"/>
  </si>
  <si>
    <r>
      <rPr>
        <sz val="14"/>
        <color rgb="FF000000"/>
        <rFont val="標楷體"/>
        <family val="4"/>
        <charset val="136"/>
      </rPr>
      <t>委保</t>
    </r>
    <r>
      <rPr>
        <sz val="14"/>
        <color rgb="FF000000"/>
        <rFont val="Times New Roman"/>
        <family val="1"/>
      </rPr>
      <t>2</t>
    </r>
    <phoneticPr fontId="32" type="noConversion"/>
  </si>
  <si>
    <r>
      <rPr>
        <sz val="14"/>
        <color indexed="8"/>
        <rFont val="標楷體"/>
        <family val="4"/>
        <charset val="136"/>
      </rPr>
      <t>中央政府債務基金</t>
    </r>
    <r>
      <rPr>
        <sz val="14"/>
        <color indexed="8"/>
        <rFont val="Times New Roman"/>
        <family val="1"/>
      </rPr>
      <t xml:space="preserve">112 </t>
    </r>
    <r>
      <rPr>
        <sz val="14"/>
        <color indexed="8"/>
        <rFont val="標楷體"/>
        <family val="4"/>
        <charset val="136"/>
      </rPr>
      <t>年度預算案於「債務收入」之編列債務還本收入</t>
    </r>
    <r>
      <rPr>
        <sz val="14"/>
        <color indexed="8"/>
        <rFont val="Times New Roman"/>
        <family val="1"/>
      </rPr>
      <t xml:space="preserve">111,000,000 </t>
    </r>
    <r>
      <rPr>
        <sz val="14"/>
        <color indexed="8"/>
        <rFont val="標楷體"/>
        <family val="4"/>
        <charset val="136"/>
      </rPr>
      <t>千元，建議依公共債務法規定，採占稅課收入</t>
    </r>
    <r>
      <rPr>
        <sz val="14"/>
        <color indexed="8"/>
        <rFont val="Times New Roman"/>
        <family val="1"/>
      </rPr>
      <t>5%-6%</t>
    </r>
    <r>
      <rPr>
        <sz val="14"/>
        <color indexed="8"/>
        <rFont val="標楷體"/>
        <family val="4"/>
        <charset val="136"/>
      </rPr>
      <t>中間值</t>
    </r>
    <r>
      <rPr>
        <sz val="14"/>
        <color indexed="8"/>
        <rFont val="Times New Roman"/>
        <family val="1"/>
      </rPr>
      <t>5.5%</t>
    </r>
    <r>
      <rPr>
        <sz val="14"/>
        <color indexed="8"/>
        <rFont val="標楷體"/>
        <family val="4"/>
        <charset val="136"/>
      </rPr>
      <t>編列，爰提案增列</t>
    </r>
    <r>
      <rPr>
        <sz val="14"/>
        <color indexed="8"/>
        <rFont val="Times New Roman"/>
        <family val="1"/>
      </rPr>
      <t>8,600,000</t>
    </r>
    <r>
      <rPr>
        <sz val="14"/>
        <color indexed="8"/>
        <rFont val="標楷體"/>
        <family val="4"/>
        <charset val="136"/>
      </rPr>
      <t>千元。</t>
    </r>
    <phoneticPr fontId="32" type="noConversion"/>
  </si>
  <si>
    <t>V</t>
  </si>
  <si>
    <r>
      <rPr>
        <b/>
        <sz val="14"/>
        <rFont val="標楷體"/>
        <family val="4"/>
        <charset val="136"/>
      </rPr>
      <t>中央政府債務基金</t>
    </r>
    <phoneticPr fontId="32" type="noConversion"/>
  </si>
  <si>
    <t>行政院主管</t>
    <phoneticPr fontId="32" type="noConversion"/>
  </si>
  <si>
    <t>行政院國家發展基金</t>
    <phoneticPr fontId="32" type="noConversion"/>
  </si>
  <si>
    <t>共1案</t>
    <phoneticPr fontId="32" type="noConversion"/>
  </si>
  <si>
    <t>委保1</t>
    <phoneticPr fontId="32" type="noConversion"/>
  </si>
  <si>
    <r>
      <t>共</t>
    </r>
    <r>
      <rPr>
        <b/>
        <sz val="14"/>
        <rFont val="新細明體"/>
        <family val="1"/>
        <charset val="136"/>
      </rPr>
      <t>2</t>
    </r>
    <r>
      <rPr>
        <b/>
        <sz val="14"/>
        <rFont val="標楷體"/>
        <family val="4"/>
        <charset val="136"/>
      </rPr>
      <t>案</t>
    </r>
    <phoneticPr fontId="32" type="noConversion"/>
  </si>
  <si>
    <t>國立故宮博物院主管</t>
    <phoneticPr fontId="32" type="noConversion"/>
  </si>
  <si>
    <t>故宮文物藝術發展基金</t>
    <phoneticPr fontId="32" type="noConversion"/>
  </si>
  <si>
    <r>
      <t>共</t>
    </r>
    <r>
      <rPr>
        <b/>
        <sz val="14"/>
        <rFont val="新細明體"/>
        <family val="1"/>
        <charset val="136"/>
      </rPr>
      <t>1</t>
    </r>
    <r>
      <rPr>
        <b/>
        <sz val="14"/>
        <rFont val="標楷體"/>
        <family val="4"/>
        <charset val="136"/>
      </rPr>
      <t>案</t>
    </r>
    <phoneticPr fontId="32" type="noConversion"/>
  </si>
  <si>
    <t>張其祿</t>
    <phoneticPr fontId="32" type="noConversion"/>
  </si>
  <si>
    <t>李貴敏</t>
    <phoneticPr fontId="32" type="noConversion"/>
  </si>
  <si>
    <t>吳怡玎</t>
    <phoneticPr fontId="32" type="noConversion"/>
  </si>
  <si>
    <r>
      <t>共</t>
    </r>
    <r>
      <rPr>
        <b/>
        <sz val="14"/>
        <rFont val="新細明體"/>
        <family val="1"/>
        <charset val="136"/>
      </rPr>
      <t>4</t>
    </r>
    <r>
      <rPr>
        <b/>
        <sz val="14"/>
        <rFont val="標楷體"/>
        <family val="4"/>
        <charset val="136"/>
      </rPr>
      <t>案</t>
    </r>
    <phoneticPr fontId="32" type="noConversion"/>
  </si>
  <si>
    <t>財政部主管</t>
    <phoneticPr fontId="32" type="noConversion"/>
  </si>
  <si>
    <t>共2案</t>
    <phoneticPr fontId="32" type="noConversion"/>
  </si>
  <si>
    <t>V</t>
    <phoneticPr fontId="32" type="noConversion"/>
  </si>
  <si>
    <r>
      <rPr>
        <b/>
        <sz val="14"/>
        <color rgb="FF000000"/>
        <rFont val="Times New Roman"/>
        <family val="1"/>
      </rPr>
      <t>1.</t>
    </r>
    <r>
      <rPr>
        <b/>
        <sz val="14"/>
        <color rgb="FF000000"/>
        <rFont val="標楷體"/>
        <family val="4"/>
        <charset val="136"/>
      </rPr>
      <t>建請修正文字為「</t>
    </r>
    <r>
      <rPr>
        <b/>
        <sz val="14"/>
        <color rgb="FF000000"/>
        <rFont val="Times New Roman"/>
        <family val="1"/>
      </rPr>
      <t>…</t>
    </r>
    <r>
      <rPr>
        <b/>
        <sz val="14"/>
        <color rgb="FF000000"/>
        <rFont val="標楷體"/>
        <family val="4"/>
        <charset val="136"/>
      </rPr>
      <t>，爰要求財政部視財政狀況，依公共債務法規定增加債務還本。」</t>
    </r>
    <r>
      <rPr>
        <sz val="14"/>
        <color rgb="FF000000"/>
        <rFont val="Times New Roman"/>
        <family val="1"/>
      </rPr>
      <t xml:space="preserve">
2.</t>
    </r>
    <r>
      <rPr>
        <sz val="14"/>
        <color indexed="8"/>
        <rFont val="標楷體"/>
        <family val="4"/>
        <charset val="136"/>
      </rPr>
      <t>鑑於增列該收入須同步增列總預算「債務之償還」，在</t>
    </r>
    <r>
      <rPr>
        <sz val="14"/>
        <color indexed="8"/>
        <rFont val="Times New Roman"/>
        <family val="1"/>
      </rPr>
      <t>112</t>
    </r>
    <r>
      <rPr>
        <sz val="14"/>
        <color indexed="8"/>
        <rFont val="標楷體"/>
        <family val="4"/>
        <charset val="136"/>
      </rPr>
      <t>年度總預算歲入歲出仍差短情況下，增編「債務之償還」仍須舉債支應，未能實質降低債務未償餘額，為達實質增加還本目的，</t>
    </r>
    <r>
      <rPr>
        <sz val="14"/>
        <color rgb="FF000000"/>
        <rFont val="標楷體"/>
        <family val="4"/>
        <charset val="136"/>
      </rPr>
      <t>爰建議增列數額由財政部視財政狀況依公共債務法規定辦理。</t>
    </r>
    <phoneticPr fontId="32" type="noConversion"/>
  </si>
  <si>
    <r>
      <rPr>
        <b/>
        <sz val="14"/>
        <color rgb="FF000000"/>
        <rFont val="Times New Roman"/>
        <family val="1"/>
      </rPr>
      <t>1.</t>
    </r>
    <r>
      <rPr>
        <b/>
        <sz val="14"/>
        <color rgb="FF000000"/>
        <rFont val="標楷體"/>
        <family val="4"/>
        <charset val="136"/>
      </rPr>
      <t>建請修正文字為「</t>
    </r>
    <r>
      <rPr>
        <b/>
        <sz val="14"/>
        <color rgb="FF000000"/>
        <rFont val="Times New Roman"/>
        <family val="1"/>
      </rPr>
      <t>…</t>
    </r>
    <r>
      <rPr>
        <b/>
        <sz val="14"/>
        <color rgb="FF000000"/>
        <rFont val="標楷體"/>
        <family val="4"/>
        <charset val="136"/>
      </rPr>
      <t>，爰要求財政部視財政狀況，依公共債務法規定增加債務還本。」</t>
    </r>
    <r>
      <rPr>
        <sz val="14"/>
        <color rgb="FF000000"/>
        <rFont val="Times New Roman"/>
        <family val="1"/>
      </rPr>
      <t xml:space="preserve">
2.</t>
    </r>
    <r>
      <rPr>
        <sz val="14"/>
        <color indexed="8"/>
        <rFont val="標楷體"/>
        <family val="4"/>
        <charset val="136"/>
      </rPr>
      <t>鑑於增列該收入須同步增列總預算「債務之償還」，在</t>
    </r>
    <r>
      <rPr>
        <sz val="14"/>
        <color indexed="8"/>
        <rFont val="Times New Roman"/>
        <family val="1"/>
      </rPr>
      <t>112</t>
    </r>
    <r>
      <rPr>
        <sz val="14"/>
        <color indexed="8"/>
        <rFont val="標楷體"/>
        <family val="4"/>
        <charset val="136"/>
      </rPr>
      <t>年度總預算歲入歲出仍差短情況下，增編「債務之償還」仍須舉債支應，未能</t>
    </r>
    <r>
      <rPr>
        <sz val="14"/>
        <color rgb="FF000000"/>
        <rFont val="標楷體"/>
        <family val="4"/>
        <charset val="136"/>
      </rPr>
      <t>實質降低債務未償餘額，為達實質增加還本目的，爰建議增列數額由財政部視財政狀況依公共債務法規定辦理。</t>
    </r>
    <phoneticPr fontId="32" type="noConversion"/>
  </si>
  <si>
    <r>
      <rPr>
        <b/>
        <sz val="14"/>
        <color rgb="FF000000"/>
        <rFont val="Times New Roman"/>
        <family val="1"/>
      </rPr>
      <t>1.</t>
    </r>
    <r>
      <rPr>
        <b/>
        <sz val="14"/>
        <color rgb="FF000000"/>
        <rFont val="標楷體"/>
        <family val="4"/>
        <charset val="136"/>
      </rPr>
      <t>建請修正文字為「</t>
    </r>
    <r>
      <rPr>
        <b/>
        <sz val="14"/>
        <color rgb="FF000000"/>
        <rFont val="Times New Roman"/>
        <family val="1"/>
      </rPr>
      <t>…</t>
    </r>
    <r>
      <rPr>
        <b/>
        <sz val="14"/>
        <color rgb="FF000000"/>
        <rFont val="標楷體"/>
        <family val="4"/>
        <charset val="136"/>
      </rPr>
      <t>；爰提案要求故宮應積極辦理典藏數位化、策展和行銷」。</t>
    </r>
    <r>
      <rPr>
        <sz val="14"/>
        <color rgb="FF000000"/>
        <rFont val="Times New Roman"/>
        <family val="1"/>
      </rPr>
      <t xml:space="preserve">
2.</t>
    </r>
    <r>
      <rPr>
        <sz val="14"/>
        <color rgb="FF000000"/>
        <rFont val="標楷體"/>
        <family val="4"/>
        <charset val="136"/>
      </rPr>
      <t>由於文物並非量產商品，如刪除文物收購預算，將無法於合適之文物出現時進行徵集作業，爰建請修正文字為「</t>
    </r>
    <r>
      <rPr>
        <sz val="14"/>
        <color rgb="FF000000"/>
        <rFont val="標楷體"/>
        <family val="4"/>
        <charset val="136"/>
      </rPr>
      <t>要求故宮應積極辦理典藏數位化、策展和行銷」。</t>
    </r>
    <phoneticPr fontId="32" type="noConversion"/>
  </si>
  <si>
    <r>
      <t>112</t>
    </r>
    <r>
      <rPr>
        <b/>
        <sz val="20"/>
        <rFont val="標楷體"/>
        <family val="4"/>
        <charset val="136"/>
      </rPr>
      <t>年度附屬單位預算案提案彙總表－非營業基金</t>
    </r>
    <r>
      <rPr>
        <b/>
        <sz val="20"/>
        <rFont val="Times New Roman"/>
        <family val="1"/>
      </rPr>
      <t>(</t>
    </r>
    <r>
      <rPr>
        <b/>
        <sz val="20"/>
        <rFont val="標楷體"/>
        <family val="4"/>
        <charset val="136"/>
      </rPr>
      <t>彙</t>
    </r>
    <r>
      <rPr>
        <b/>
        <sz val="20"/>
        <rFont val="Times New Roman"/>
        <family val="1"/>
      </rPr>
      <t xml:space="preserve">)                                                                         </t>
    </r>
    <phoneticPr fontId="32" type="noConversion"/>
  </si>
  <si>
    <r>
      <rPr>
        <sz val="14"/>
        <color rgb="FF000000"/>
        <rFont val="標楷體"/>
        <family val="4"/>
        <charset val="136"/>
      </rPr>
      <t>「固定資產之建設改良擴充</t>
    </r>
    <r>
      <rPr>
        <sz val="14"/>
        <color rgb="FF000000"/>
        <rFont val="Times New Roman"/>
        <family val="1"/>
      </rPr>
      <t>-</t>
    </r>
    <r>
      <rPr>
        <sz val="14"/>
        <color rgb="FF000000"/>
        <rFont val="標楷體"/>
        <family val="4"/>
        <charset val="136"/>
      </rPr>
      <t>一般建築及設備計畫</t>
    </r>
    <r>
      <rPr>
        <sz val="14"/>
        <color rgb="FF000000"/>
        <rFont val="Times New Roman"/>
        <family val="1"/>
      </rPr>
      <t>-</t>
    </r>
    <r>
      <rPr>
        <sz val="14"/>
        <color rgb="FF000000"/>
        <rFont val="標楷體"/>
        <family val="4"/>
        <charset val="136"/>
      </rPr>
      <t>文物收購」編列</t>
    </r>
    <r>
      <rPr>
        <sz val="14"/>
        <color indexed="8"/>
        <rFont val="Times New Roman"/>
        <family val="1"/>
      </rPr>
      <t>1,200</t>
    </r>
    <r>
      <rPr>
        <sz val="14"/>
        <color rgb="FF000000"/>
        <rFont val="標楷體"/>
        <family val="4"/>
        <charset val="136"/>
      </rPr>
      <t>萬元，然現有典藏品展示率低，未經評估展覽效益就編列預算，有浪費公帑之虞；爰提案刪除。</t>
    </r>
    <phoneticPr fontId="32" type="noConversion"/>
  </si>
  <si>
    <r>
      <t>1.</t>
    </r>
    <r>
      <rPr>
        <b/>
        <sz val="14"/>
        <rFont val="標楷體"/>
        <family val="4"/>
        <charset val="136"/>
      </rPr>
      <t>建請刪除本項提案</t>
    </r>
    <r>
      <rPr>
        <sz val="14"/>
        <rFont val="標楷體"/>
        <family val="4"/>
        <charset val="136"/>
      </rPr>
      <t xml:space="preserve">。
</t>
    </r>
    <r>
      <rPr>
        <sz val="14"/>
        <rFont val="Times New Roman"/>
        <family val="1"/>
      </rPr>
      <t>2.</t>
    </r>
    <r>
      <rPr>
        <sz val="14"/>
        <rFont val="標楷體"/>
        <family val="4"/>
        <charset val="136"/>
      </rPr>
      <t>該基金財源由國庫分</t>
    </r>
    <r>
      <rPr>
        <sz val="14"/>
        <rFont val="Times New Roman"/>
        <family val="1"/>
      </rPr>
      <t>10</t>
    </r>
    <r>
      <rPr>
        <sz val="14"/>
        <rFont val="標楷體"/>
        <family val="4"/>
        <charset val="136"/>
      </rPr>
      <t>年提撥</t>
    </r>
    <r>
      <rPr>
        <sz val="14"/>
        <rFont val="Times New Roman"/>
        <family val="1"/>
      </rPr>
      <t>1,200</t>
    </r>
    <r>
      <rPr>
        <sz val="14"/>
        <rFont val="標楷體"/>
        <family val="4"/>
        <charset val="136"/>
      </rPr>
      <t>億元，與財政紀律法第</t>
    </r>
    <r>
      <rPr>
        <sz val="14"/>
        <rFont val="Times New Roman"/>
        <family val="1"/>
      </rPr>
      <t>7</t>
    </r>
    <r>
      <rPr>
        <sz val="14"/>
        <rFont val="標楷體"/>
        <family val="4"/>
        <charset val="136"/>
      </rPr>
      <t>及第</t>
    </r>
    <r>
      <rPr>
        <sz val="14"/>
        <rFont val="Times New Roman"/>
        <family val="1"/>
      </rPr>
      <t>8</t>
    </r>
    <r>
      <rPr>
        <sz val="14"/>
        <rFont val="標楷體"/>
        <family val="4"/>
        <charset val="136"/>
      </rPr>
      <t>條規定未合</t>
    </r>
    <r>
      <rPr>
        <sz val="14"/>
        <rFont val="新細明體"/>
        <family val="1"/>
        <charset val="136"/>
      </rPr>
      <t>。</t>
    </r>
    <r>
      <rPr>
        <sz val="14"/>
        <rFont val="Times New Roman"/>
        <family val="1"/>
      </rPr>
      <t xml:space="preserve">
3.</t>
    </r>
    <r>
      <rPr>
        <sz val="14"/>
        <rFont val="標楷體"/>
        <family val="4"/>
        <charset val="136"/>
      </rPr>
      <t>農委會已設立農業特別收入基金，辦理農漁業發展、受進口損害救助及農村活化再生等業務，協助全國農業發展，可納入該基金辦理。</t>
    </r>
    <r>
      <rPr>
        <sz val="14"/>
        <rFont val="Times New Roman"/>
        <family val="1"/>
      </rPr>
      <t xml:space="preserve">
4.</t>
    </r>
    <r>
      <rPr>
        <sz val="14"/>
        <rFont val="標楷體"/>
        <family val="4"/>
        <charset val="136"/>
      </rPr>
      <t>該會將請相關部會優先編列經費與投入資源，協助農業發展為主之縣市，以促進區域均衡發展。</t>
    </r>
    <phoneticPr fontId="44" type="noConversion"/>
  </si>
  <si>
    <r>
      <rPr>
        <b/>
        <sz val="14"/>
        <rFont val="標楷體"/>
        <family val="4"/>
        <charset val="136"/>
      </rPr>
      <t>提案
序號</t>
    </r>
  </si>
  <si>
    <r>
      <rPr>
        <b/>
        <sz val="14"/>
        <rFont val="標楷體"/>
        <family val="4"/>
        <charset val="136"/>
      </rPr>
      <t>提案黨團</t>
    </r>
    <phoneticPr fontId="32" type="noConversion"/>
  </si>
  <si>
    <r>
      <rPr>
        <b/>
        <sz val="14"/>
        <rFont val="標楷體"/>
        <family val="4"/>
        <charset val="136"/>
      </rPr>
      <t>提案
委員</t>
    </r>
  </si>
  <si>
    <r>
      <rPr>
        <b/>
        <sz val="14"/>
        <rFont val="標楷體"/>
        <family val="4"/>
        <charset val="136"/>
      </rPr>
      <t>委員提案</t>
    </r>
    <phoneticPr fontId="32" type="noConversion"/>
  </si>
  <si>
    <r>
      <rPr>
        <b/>
        <sz val="14"/>
        <rFont val="標楷體"/>
        <family val="4"/>
        <charset val="136"/>
      </rPr>
      <t>無法照案通過提案之窒礙難行說明</t>
    </r>
    <phoneticPr fontId="32" type="noConversion"/>
  </si>
  <si>
    <r>
      <rPr>
        <b/>
        <sz val="14"/>
        <rFont val="標楷體"/>
        <family val="4"/>
        <charset val="136"/>
      </rPr>
      <t>拜會委員溝通情形</t>
    </r>
    <phoneticPr fontId="32" type="noConversion"/>
  </si>
  <si>
    <r>
      <rPr>
        <b/>
        <sz val="14"/>
        <rFont val="標楷體"/>
        <family val="4"/>
        <charset val="136"/>
      </rPr>
      <t>待表決數</t>
    </r>
    <phoneticPr fontId="32" type="noConversion"/>
  </si>
  <si>
    <r>
      <rPr>
        <b/>
        <sz val="14"/>
        <rFont val="標楷體"/>
        <family val="4"/>
        <charset val="136"/>
      </rPr>
      <t>凍結</t>
    </r>
    <phoneticPr fontId="32" type="noConversion"/>
  </si>
  <si>
    <r>
      <rPr>
        <b/>
        <sz val="14"/>
        <rFont val="標楷體"/>
        <family val="4"/>
        <charset val="136"/>
      </rPr>
      <t>已處理</t>
    </r>
    <phoneticPr fontId="32" type="noConversion"/>
  </si>
  <si>
    <r>
      <rPr>
        <b/>
        <sz val="14"/>
        <rFont val="標楷體"/>
        <family val="4"/>
        <charset val="136"/>
      </rPr>
      <t>待處理</t>
    </r>
    <phoneticPr fontId="32" type="noConversion"/>
  </si>
  <si>
    <r>
      <rPr>
        <b/>
        <sz val="14"/>
        <rFont val="標楷體"/>
        <family val="4"/>
        <charset val="136"/>
      </rPr>
      <t>金額</t>
    </r>
    <phoneticPr fontId="32" type="noConversion"/>
  </si>
  <si>
    <r>
      <rPr>
        <b/>
        <sz val="14"/>
        <rFont val="標楷體"/>
        <family val="4"/>
        <charset val="136"/>
      </rPr>
      <t>比率</t>
    </r>
    <phoneticPr fontId="32" type="noConversion"/>
  </si>
  <si>
    <r>
      <rPr>
        <b/>
        <sz val="14"/>
        <rFont val="標楷體"/>
        <family val="4"/>
        <charset val="136"/>
      </rPr>
      <t>照案通過</t>
    </r>
    <phoneticPr fontId="32" type="noConversion"/>
  </si>
  <si>
    <r>
      <rPr>
        <b/>
        <sz val="14"/>
        <rFont val="標楷體"/>
        <family val="4"/>
        <charset val="136"/>
      </rPr>
      <t>修正案</t>
    </r>
    <phoneticPr fontId="32" type="noConversion"/>
  </si>
  <si>
    <r>
      <rPr>
        <b/>
        <sz val="14"/>
        <rFont val="標楷體"/>
        <family val="4"/>
        <charset val="136"/>
      </rPr>
      <t>改為通案</t>
    </r>
    <phoneticPr fontId="32" type="noConversion"/>
  </si>
  <si>
    <r>
      <rPr>
        <b/>
        <sz val="10"/>
        <rFont val="標楷體"/>
        <family val="4"/>
        <charset val="136"/>
      </rPr>
      <t>委員同意撤案或修正提案內容，惟黨團未蓋章</t>
    </r>
    <phoneticPr fontId="32" type="noConversion"/>
  </si>
  <si>
    <r>
      <rPr>
        <b/>
        <sz val="14"/>
        <rFont val="標楷體"/>
        <family val="4"/>
        <charset val="136"/>
      </rPr>
      <t>原提案</t>
    </r>
    <phoneticPr fontId="32" type="noConversion"/>
  </si>
  <si>
    <r>
      <rPr>
        <b/>
        <sz val="14"/>
        <color indexed="8"/>
        <rFont val="標楷體"/>
        <family val="4"/>
        <charset val="136"/>
      </rPr>
      <t>凍結</t>
    </r>
    <phoneticPr fontId="32" type="noConversion"/>
  </si>
  <si>
    <r>
      <rPr>
        <b/>
        <sz val="14"/>
        <color indexed="8"/>
        <rFont val="標楷體"/>
        <family val="4"/>
        <charset val="136"/>
      </rPr>
      <t>刪減及凍結</t>
    </r>
    <phoneticPr fontId="32" type="noConversion"/>
  </si>
  <si>
    <r>
      <rPr>
        <b/>
        <sz val="14"/>
        <color indexed="8"/>
        <rFont val="標楷體"/>
        <family val="4"/>
        <charset val="136"/>
      </rPr>
      <t>主決議</t>
    </r>
    <phoneticPr fontId="32" type="noConversion"/>
  </si>
  <si>
    <r>
      <rPr>
        <b/>
        <sz val="14"/>
        <rFont val="標楷體"/>
        <family val="4"/>
        <charset val="136"/>
      </rPr>
      <t>ＯＯ主管</t>
    </r>
    <phoneticPr fontId="32" type="noConversion"/>
  </si>
  <si>
    <r>
      <rPr>
        <b/>
        <sz val="14"/>
        <rFont val="標楷體"/>
        <family val="4"/>
        <charset val="136"/>
      </rPr>
      <t>共ＯＯ案</t>
    </r>
    <phoneticPr fontId="32" type="noConversion"/>
  </si>
  <si>
    <r>
      <rPr>
        <b/>
        <sz val="14"/>
        <rFont val="標楷體"/>
        <family val="4"/>
        <charset val="136"/>
      </rPr>
      <t>ＸＸ基金</t>
    </r>
    <phoneticPr fontId="32" type="noConversion"/>
  </si>
  <si>
    <r>
      <t>113</t>
    </r>
    <r>
      <rPr>
        <b/>
        <sz val="20"/>
        <rFont val="標楷體"/>
        <family val="4"/>
        <charset val="136"/>
      </rPr>
      <t>年度附屬單位預算案提案彙總表－非營業基金</t>
    </r>
    <r>
      <rPr>
        <b/>
        <sz val="20"/>
        <rFont val="Times New Roman"/>
        <family val="1"/>
      </rPr>
      <t>(</t>
    </r>
    <r>
      <rPr>
        <b/>
        <sz val="20"/>
        <rFont val="標楷體"/>
        <family val="4"/>
        <charset val="136"/>
      </rPr>
      <t>彙</t>
    </r>
    <r>
      <rPr>
        <b/>
        <sz val="20"/>
        <rFont val="Times New Roman"/>
        <family val="1"/>
      </rPr>
      <t xml:space="preserve">)                                                                         </t>
    </r>
    <phoneticPr fontId="32" type="noConversion"/>
  </si>
  <si>
    <r>
      <rPr>
        <b/>
        <sz val="14"/>
        <rFont val="標楷體"/>
        <family val="4"/>
        <charset val="136"/>
      </rPr>
      <t>委員會序</t>
    </r>
    <r>
      <rPr>
        <b/>
        <sz val="14"/>
        <rFont val="Times New Roman"/>
        <family val="1"/>
      </rPr>
      <t xml:space="preserve"> </t>
    </r>
    <r>
      <rPr>
        <b/>
        <sz val="14"/>
        <rFont val="標楷體"/>
        <family val="4"/>
        <charset val="136"/>
      </rPr>
      <t>號</t>
    </r>
  </si>
  <si>
    <r>
      <rPr>
        <b/>
        <sz val="14"/>
        <rFont val="標楷體"/>
        <family val="4"/>
        <charset val="136"/>
      </rPr>
      <t>處理情形</t>
    </r>
    <r>
      <rPr>
        <b/>
        <sz val="14"/>
        <rFont val="Times New Roman"/>
        <family val="1"/>
      </rPr>
      <t>(</t>
    </r>
    <r>
      <rPr>
        <b/>
        <sz val="14"/>
        <rFont val="標楷體"/>
        <family val="4"/>
        <charset val="136"/>
      </rPr>
      <t>擇一勾選</t>
    </r>
    <r>
      <rPr>
        <b/>
        <sz val="14"/>
        <rFont val="Times New Roman"/>
        <family val="1"/>
      </rPr>
      <t>)</t>
    </r>
    <phoneticPr fontId="32" type="noConversion"/>
  </si>
  <si>
    <r>
      <rPr>
        <b/>
        <sz val="14"/>
        <rFont val="標楷體"/>
        <family val="4"/>
        <charset val="136"/>
      </rPr>
      <t>處理後
增減</t>
    </r>
    <r>
      <rPr>
        <b/>
        <sz val="14"/>
        <rFont val="Times New Roman"/>
        <family val="1"/>
      </rPr>
      <t>(-)</t>
    </r>
    <r>
      <rPr>
        <b/>
        <sz val="14"/>
        <rFont val="標楷體"/>
        <family val="4"/>
        <charset val="136"/>
      </rPr>
      <t>數</t>
    </r>
    <phoneticPr fontId="32" type="noConversion"/>
  </si>
  <si>
    <r>
      <rPr>
        <b/>
        <sz val="14"/>
        <rFont val="標楷體"/>
        <family val="4"/>
        <charset val="136"/>
      </rPr>
      <t>增減</t>
    </r>
    <r>
      <rPr>
        <b/>
        <sz val="14"/>
        <rFont val="Times New Roman"/>
        <family val="1"/>
      </rPr>
      <t>(-)</t>
    </r>
    <r>
      <rPr>
        <b/>
        <sz val="14"/>
        <rFont val="標楷體"/>
        <family val="4"/>
        <charset val="136"/>
      </rPr>
      <t>數</t>
    </r>
    <phoneticPr fontId="32" type="noConversion"/>
  </si>
  <si>
    <r>
      <rPr>
        <b/>
        <sz val="14"/>
        <rFont val="標楷體"/>
        <family val="4"/>
        <charset val="136"/>
      </rPr>
      <t>撤案</t>
    </r>
    <r>
      <rPr>
        <b/>
        <sz val="14"/>
        <rFont val="Times New Roman"/>
        <family val="1"/>
      </rPr>
      <t>/</t>
    </r>
    <r>
      <rPr>
        <b/>
        <sz val="14"/>
        <rFont val="標楷體"/>
        <family val="4"/>
        <charset val="136"/>
      </rPr>
      <t>併案</t>
    </r>
    <phoneticPr fontId="32" type="noConversion"/>
  </si>
  <si>
    <r>
      <rPr>
        <b/>
        <sz val="14"/>
        <color indexed="8"/>
        <rFont val="標楷體"/>
        <family val="4"/>
        <charset val="136"/>
      </rPr>
      <t>刪減</t>
    </r>
    <r>
      <rPr>
        <b/>
        <sz val="14"/>
        <color indexed="8"/>
        <rFont val="Times New Roman"/>
        <family val="1"/>
      </rPr>
      <t>/</t>
    </r>
    <r>
      <rPr>
        <b/>
        <sz val="14"/>
        <color indexed="8"/>
        <rFont val="標楷體"/>
        <family val="4"/>
        <charset val="136"/>
      </rPr>
      <t>增列</t>
    </r>
    <phoneticPr fontId="32" type="noConversion"/>
  </si>
  <si>
    <r>
      <rPr>
        <sz val="14"/>
        <rFont val="標楷體"/>
        <family val="4"/>
        <charset val="136"/>
      </rPr>
      <t>【範例</t>
    </r>
    <r>
      <rPr>
        <sz val="14"/>
        <rFont val="Times New Roman"/>
        <family val="1"/>
      </rPr>
      <t>1</t>
    </r>
    <r>
      <rPr>
        <sz val="14"/>
        <rFont val="標楷體"/>
        <family val="4"/>
        <charset val="136"/>
      </rPr>
      <t>】建議刪除本項提案者</t>
    </r>
    <phoneticPr fontId="32" type="noConversion"/>
  </si>
  <si>
    <r>
      <rPr>
        <b/>
        <sz val="14"/>
        <rFont val="標楷體"/>
        <family val="4"/>
        <charset val="136"/>
      </rPr>
      <t>一、建請刪除本項提案</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r>
      <rPr>
        <sz val="14"/>
        <rFont val="Times New Roman"/>
        <family val="1"/>
      </rPr>
      <t xml:space="preserve">
</t>
    </r>
    <r>
      <rPr>
        <sz val="14"/>
        <rFont val="標楷體"/>
        <family val="4"/>
        <charset val="136"/>
      </rPr>
      <t>二、窒礙難行說明</t>
    </r>
    <r>
      <rPr>
        <sz val="14"/>
        <rFont val="新細明體"/>
        <family val="1"/>
        <charset val="136"/>
      </rPr>
      <t>。</t>
    </r>
    <r>
      <rPr>
        <sz val="14"/>
        <rFont val="Times New Roman"/>
        <family val="1"/>
      </rPr>
      <t xml:space="preserve">
</t>
    </r>
    <r>
      <rPr>
        <sz val="14"/>
        <rFont val="標楷體"/>
        <family val="4"/>
        <charset val="136"/>
      </rPr>
      <t>三、本年截至</t>
    </r>
    <r>
      <rPr>
        <sz val="14"/>
        <rFont val="Times New Roman"/>
        <family val="1"/>
      </rPr>
      <t>3</t>
    </r>
    <r>
      <rPr>
        <sz val="14"/>
        <rFont val="標楷體"/>
        <family val="4"/>
        <charset val="136"/>
      </rPr>
      <t>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千元。</t>
    </r>
    <phoneticPr fontId="32" type="noConversion"/>
  </si>
  <si>
    <r>
      <rPr>
        <sz val="14"/>
        <rFont val="標楷體"/>
        <family val="4"/>
        <charset val="136"/>
      </rPr>
      <t>【範例</t>
    </r>
    <r>
      <rPr>
        <sz val="14"/>
        <rFont val="Times New Roman"/>
        <family val="1"/>
      </rPr>
      <t>2</t>
    </r>
    <r>
      <rPr>
        <sz val="14"/>
        <rFont val="標楷體"/>
        <family val="4"/>
        <charset val="136"/>
      </rPr>
      <t>】建議修正文字者</t>
    </r>
    <phoneticPr fontId="32" type="noConversion"/>
  </si>
  <si>
    <r>
      <rPr>
        <b/>
        <sz val="14"/>
        <rFont val="標楷體"/>
        <family val="4"/>
        <charset val="136"/>
      </rPr>
      <t>一、建請免予減列</t>
    </r>
    <r>
      <rPr>
        <b/>
        <sz val="14"/>
        <rFont val="Times New Roman"/>
        <family val="1"/>
      </rPr>
      <t>or</t>
    </r>
    <r>
      <rPr>
        <b/>
        <sz val="14"/>
        <rFont val="標楷體"/>
        <family val="4"/>
        <charset val="136"/>
      </rPr>
      <t>凍結，並修正提案文字為「</t>
    </r>
    <r>
      <rPr>
        <b/>
        <sz val="14"/>
        <rFont val="微軟正黑體"/>
        <family val="2"/>
        <charset val="136"/>
      </rPr>
      <t>…</t>
    </r>
    <r>
      <rPr>
        <b/>
        <sz val="14"/>
        <rFont val="標楷體"/>
        <family val="4"/>
        <charset val="136"/>
      </rPr>
      <t>。」</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r>
      <rPr>
        <sz val="14"/>
        <rFont val="Times New Roman"/>
        <family val="1"/>
      </rPr>
      <t xml:space="preserve">
</t>
    </r>
    <r>
      <rPr>
        <sz val="14"/>
        <rFont val="標楷體"/>
        <family val="4"/>
        <charset val="136"/>
      </rPr>
      <t>二、窒礙難行說明</t>
    </r>
    <r>
      <rPr>
        <sz val="14"/>
        <rFont val="新細明體"/>
        <family val="1"/>
        <charset val="136"/>
      </rPr>
      <t>。</t>
    </r>
    <r>
      <rPr>
        <sz val="14"/>
        <rFont val="Times New Roman"/>
        <family val="1"/>
      </rPr>
      <t xml:space="preserve">
</t>
    </r>
    <r>
      <rPr>
        <sz val="14"/>
        <rFont val="標楷體"/>
        <family val="4"/>
        <charset val="136"/>
      </rPr>
      <t>三、本年截至</t>
    </r>
    <r>
      <rPr>
        <sz val="14"/>
        <rFont val="Times New Roman"/>
        <family val="1"/>
      </rPr>
      <t>3</t>
    </r>
    <r>
      <rPr>
        <sz val="14"/>
        <rFont val="標楷體"/>
        <family val="4"/>
        <charset val="136"/>
      </rPr>
      <t>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千元。</t>
    </r>
    <phoneticPr fontId="32" type="noConversion"/>
  </si>
  <si>
    <r>
      <rPr>
        <b/>
        <sz val="14"/>
        <rFont val="標楷體"/>
        <family val="4"/>
        <charset val="136"/>
      </rPr>
      <t>提案項目內容</t>
    </r>
    <r>
      <rPr>
        <b/>
        <sz val="14"/>
        <rFont val="Times New Roman"/>
        <family val="1"/>
      </rPr>
      <t>(</t>
    </r>
    <r>
      <rPr>
        <b/>
        <sz val="14"/>
        <rFont val="標楷體"/>
        <family val="4"/>
        <charset val="136"/>
      </rPr>
      <t>簡要</t>
    </r>
    <r>
      <rPr>
        <b/>
        <sz val="14"/>
        <rFont val="Times New Roman"/>
        <family val="1"/>
      </rPr>
      <t>)</t>
    </r>
    <phoneticPr fontId="32" type="noConversion"/>
  </si>
  <si>
    <t>通傳會主管</t>
    <phoneticPr fontId="32" type="noConversion"/>
  </si>
  <si>
    <r>
      <rPr>
        <b/>
        <sz val="14"/>
        <rFont val="標楷體"/>
        <family val="4"/>
        <charset val="136"/>
      </rPr>
      <t>共</t>
    </r>
    <r>
      <rPr>
        <b/>
        <sz val="14"/>
        <rFont val="Times New Roman"/>
        <family val="4"/>
      </rPr>
      <t>8</t>
    </r>
    <r>
      <rPr>
        <b/>
        <sz val="14"/>
        <rFont val="標楷體"/>
        <family val="4"/>
        <charset val="136"/>
      </rPr>
      <t>案</t>
    </r>
    <phoneticPr fontId="32" type="noConversion"/>
  </si>
  <si>
    <t>通訊傳播監督管理基金</t>
    <phoneticPr fontId="32" type="noConversion"/>
  </si>
  <si>
    <r>
      <rPr>
        <b/>
        <sz val="14"/>
        <rFont val="標楷體"/>
        <family val="4"/>
        <charset val="136"/>
      </rPr>
      <t>共</t>
    </r>
    <r>
      <rPr>
        <b/>
        <sz val="14"/>
        <rFont val="Times New Roman"/>
        <family val="4"/>
      </rPr>
      <t>6</t>
    </r>
    <r>
      <rPr>
        <b/>
        <sz val="14"/>
        <rFont val="標楷體"/>
        <family val="4"/>
        <charset val="136"/>
      </rPr>
      <t>案</t>
    </r>
    <phoneticPr fontId="32" type="noConversion"/>
  </si>
  <si>
    <t>陳雪生</t>
    <phoneticPr fontId="32" type="noConversion"/>
  </si>
  <si>
    <t>「傳播事務監理計畫-一般服務費」編列1,041萬2千元，凍結10％，待通傳會說明三立毋須裁罰之理由及法律依據，並於1個月內向立法院交通委員會提出專案檢討報告，經同意後始可動支。</t>
    <phoneticPr fontId="32" type="noConversion"/>
  </si>
  <si>
    <r>
      <t>一、</t>
    </r>
    <r>
      <rPr>
        <b/>
        <sz val="14"/>
        <rFont val="標楷體"/>
        <family val="4"/>
        <charset val="136"/>
      </rPr>
      <t>建請免予凍結，並修正提案文字為「…，爰通傳會應就本案調查經過及後續辦理情形，向立法院交通委員會提出書面報告。」</t>
    </r>
    <r>
      <rPr>
        <sz val="14"/>
        <rFont val="標楷體"/>
        <family val="4"/>
        <charset val="136"/>
      </rPr>
      <t xml:space="preserve">
二、通傳會已於112年11月29日作成本案調查報告並提交至立法院交通委員會。並於本（113）年1月24日第1103次委員會議決議，要求泓順公司（中嘉上層）應於同年5月31日前向通傳會陳報爭議股權尋得受讓對象及取得該會同意，並應於同年8月31日前完成股權處分程序。為落實監理該公司履行通傳會107年中嘉案所為附負擔行政處分之要求，通傳會將依第1103次委員會議決議，按月追蹤該公司申報前揭項目之執行情形。
三、本年截至3月底執行數1,147千元，預估尚須執行9,265千元，全年共需10,412千元。</t>
    </r>
    <phoneticPr fontId="32" type="noConversion"/>
  </si>
  <si>
    <r>
      <rPr>
        <sz val="14"/>
        <rFont val="標楷體"/>
        <family val="4"/>
        <charset val="136"/>
      </rPr>
      <t>委保</t>
    </r>
    <r>
      <rPr>
        <sz val="14"/>
        <rFont val="Times New Roman"/>
        <family val="1"/>
      </rPr>
      <t>2</t>
    </r>
    <r>
      <rPr>
        <sz val="12"/>
        <color theme="1"/>
        <rFont val="新細明體"/>
        <family val="2"/>
        <charset val="136"/>
        <scheme val="minor"/>
      </rPr>
      <t/>
    </r>
  </si>
  <si>
    <t>「傳播事務監理計畫-一般服務費」編列1,041萬2千元，凍結10％，待通傳會於1個月內向立法院交通委員會提出怠於調查鏡電視違法之專案檢討報告，經同意後始可動支。</t>
    <phoneticPr fontId="32" type="noConversion"/>
  </si>
  <si>
    <r>
      <rPr>
        <b/>
        <sz val="14"/>
        <rFont val="標楷體"/>
        <family val="4"/>
        <charset val="136"/>
      </rPr>
      <t>一、建請刪除本項提案。</t>
    </r>
    <r>
      <rPr>
        <sz val="14"/>
        <rFont val="標楷體"/>
        <family val="4"/>
        <charset val="136"/>
      </rPr>
      <t xml:space="preserve">
二、通傳會已依立法院臨時提案決議函詢相關部會，經回復所得資訊，尚無具體事證顯示該公司股東涉代持等違反相關附款情形。鏡電視相關案件已由檢調單位偵查中，通傳會尊重並配合審查程序，有涉行政程序法等規定情形，將依法究辦，以維護監理機關之獨立與公正。
三、本年截至3月底執行數1,147千元，預估尚須執行9,265千元，全年共需10,412千元。</t>
    </r>
    <phoneticPr fontId="32" type="noConversion"/>
  </si>
  <si>
    <r>
      <rPr>
        <sz val="14"/>
        <rFont val="標楷體"/>
        <family val="4"/>
        <charset val="136"/>
      </rPr>
      <t>委保</t>
    </r>
    <r>
      <rPr>
        <sz val="14"/>
        <rFont val="Times New Roman"/>
        <family val="1"/>
      </rPr>
      <t>3</t>
    </r>
    <r>
      <rPr>
        <sz val="12"/>
        <color theme="1"/>
        <rFont val="新細明體"/>
        <family val="2"/>
        <charset val="136"/>
        <scheme val="minor"/>
      </rPr>
      <t/>
    </r>
  </si>
  <si>
    <t>「傳播事務監理計畫-一般服務費」編列1,041萬2千元，凍結10％，待通傳會說明為何系統業者已出現違法股權移轉變動情形卻毫無所悉之原因，並於1個月內向立法院交通委員會提出專案檢討報告，經同意後始可動支。</t>
    <phoneticPr fontId="32" type="noConversion"/>
  </si>
  <si>
    <r>
      <rPr>
        <b/>
        <sz val="14"/>
        <rFont val="標楷體"/>
        <family val="4"/>
        <charset val="136"/>
      </rPr>
      <t>一、建請免予減凍結，並修正提案文字為「…，爰通傳會應就本案後續之檢討與未來對有線電視系統經營者股權變動監理之修法方向，向立法院交通委員會提出書面報告。」</t>
    </r>
    <r>
      <rPr>
        <sz val="14"/>
        <rFont val="標楷體"/>
        <family val="4"/>
        <charset val="136"/>
      </rPr>
      <t xml:space="preserve">
二、鑑於中嘉集團因上層股權異動而致未履行通傳會行政處分所附加負擔，該會已著手討論有線廣播電視法相關修正事宜，期望藉由相關法規之修正促使有線電視產業朝向市場健全方向發展。
三、本年截至3月底執行數1,147千元，預估尚須執行9,265千元，全年共需10,412千元。</t>
    </r>
    <phoneticPr fontId="32" type="noConversion"/>
  </si>
  <si>
    <r>
      <rPr>
        <sz val="14"/>
        <rFont val="標楷體"/>
        <family val="4"/>
        <charset val="136"/>
      </rPr>
      <t>委保</t>
    </r>
    <r>
      <rPr>
        <sz val="14"/>
        <rFont val="Times New Roman"/>
        <family val="1"/>
      </rPr>
      <t>4</t>
    </r>
    <r>
      <rPr>
        <sz val="12"/>
        <color theme="1"/>
        <rFont val="新細明體"/>
        <family val="2"/>
        <charset val="136"/>
        <scheme val="minor"/>
      </rPr>
      <t/>
    </r>
  </si>
  <si>
    <r>
      <t>「傳播事務監理計畫-專業服務費」編列2,268萬2千元，凍結10％，待通傳會說明三立毋須裁罰之理由及法律依據，並於</t>
    </r>
    <r>
      <rPr>
        <sz val="12"/>
        <color rgb="FF000000"/>
        <rFont val="標楷體"/>
        <family val="4"/>
        <charset val="136"/>
      </rPr>
      <t>1</t>
    </r>
    <r>
      <rPr>
        <sz val="14"/>
        <color rgb="FF000000"/>
        <rFont val="標楷體"/>
        <family val="4"/>
        <charset val="136"/>
      </rPr>
      <t>個月內向立法院交通委員會提出專案檢討報告，經同意後始可動支。</t>
    </r>
    <phoneticPr fontId="32" type="noConversion"/>
  </si>
  <si>
    <r>
      <rPr>
        <b/>
        <sz val="14"/>
        <rFont val="標楷體"/>
        <family val="4"/>
        <charset val="136"/>
      </rPr>
      <t>一、建請免予減凍結，並修正提案文字為「…，爰通傳會應就本案調查經過及後續辦理情形，向立法院交通委員會提出書面報告。」</t>
    </r>
    <r>
      <rPr>
        <sz val="14"/>
        <rFont val="標楷體"/>
        <family val="4"/>
        <charset val="136"/>
      </rPr>
      <t xml:space="preserve">
二、通傳會已於112年11月29日作成本案調查報告並提交至立法院交通委員會。並於本（113）年1月24日第1103次委員會議決議，要求泓順公司（中嘉上層）應於同年5月31日前向通傳會陳報爭議股權尋得受讓對象及取得該會同意，並應於同年8月31日前完成股權處分程序。為落實監理該公司履行通傳會107年中嘉案所為附負擔行政處分之要求，通傳會將依第1103次委員會議決議，按月追蹤該公司申報前揭項目之執行情形。
三、本年截至3月底執行數3,180千元，預估尚須執行19,502千元，全年共需22,682千元。</t>
    </r>
    <phoneticPr fontId="32" type="noConversion"/>
  </si>
  <si>
    <r>
      <rPr>
        <sz val="14"/>
        <rFont val="標楷體"/>
        <family val="4"/>
        <charset val="136"/>
      </rPr>
      <t>委保</t>
    </r>
    <r>
      <rPr>
        <sz val="14"/>
        <rFont val="Times New Roman"/>
        <family val="1"/>
      </rPr>
      <t>5</t>
    </r>
    <r>
      <rPr>
        <sz val="12"/>
        <color theme="1"/>
        <rFont val="新細明體"/>
        <family val="2"/>
        <charset val="136"/>
        <scheme val="minor"/>
      </rPr>
      <t/>
    </r>
  </si>
  <si>
    <t>「傳播事務監理計畫-專業服務費」編列2,268萬2千元，凍結10％，待通傳會說明為何系統業者已出現違法股權移轉變動情形卻毫無所悉之原因，並於1月內向立法院交通委員會提出專案檢討報告，經同意後始可動支。</t>
    <phoneticPr fontId="32" type="noConversion"/>
  </si>
  <si>
    <r>
      <rPr>
        <b/>
        <sz val="14"/>
        <rFont val="標楷體"/>
        <family val="4"/>
        <charset val="136"/>
      </rPr>
      <t>一、建請免予減凍結，並修正提案文字為「…，爰通傳會應就本案後續之檢討與未來對有線電視系統經營者股權變動監理之修法方向，向立法院交通委員會提出書面報告。」</t>
    </r>
    <r>
      <rPr>
        <sz val="14"/>
        <rFont val="標楷體"/>
        <family val="4"/>
        <charset val="136"/>
      </rPr>
      <t xml:space="preserve">
二、鑑於中嘉集團因上層股權異動而致未履行通傳會行政處分所附加負擔，該會已著手討論有線廣播電視法相關修正事宜，期望藉由相關法規之修正促使有線電視產業朝向市場健全方向發展。
三、本年截至3月底執行數3,180千元，預估尚須執行19,502千元，全年共需22,682千元。</t>
    </r>
    <phoneticPr fontId="32" type="noConversion"/>
  </si>
  <si>
    <r>
      <rPr>
        <sz val="14"/>
        <rFont val="標楷體"/>
        <family val="4"/>
        <charset val="136"/>
      </rPr>
      <t>委保</t>
    </r>
    <r>
      <rPr>
        <sz val="14"/>
        <rFont val="Times New Roman"/>
        <family val="1"/>
      </rPr>
      <t>6</t>
    </r>
    <r>
      <rPr>
        <sz val="12"/>
        <color theme="1"/>
        <rFont val="新細明體"/>
        <family val="2"/>
        <charset val="136"/>
        <scheme val="minor"/>
      </rPr>
      <t/>
    </r>
  </si>
  <si>
    <t>「傳播事務監理計畫-專業服務費」編列2,268萬2千元，凍結10％，待通傳會於1個月內向立法院交通委員會提出怠於調查鏡電視違法之專案檢討報告，經同意後始可動支。</t>
    <phoneticPr fontId="32" type="noConversion"/>
  </si>
  <si>
    <r>
      <rPr>
        <b/>
        <sz val="14"/>
        <rFont val="標楷體"/>
        <family val="4"/>
        <charset val="136"/>
      </rPr>
      <t>一、建請刪除本項提案。</t>
    </r>
    <r>
      <rPr>
        <sz val="14"/>
        <rFont val="標楷體"/>
        <family val="4"/>
        <charset val="136"/>
      </rPr>
      <t xml:space="preserve">
二、通傳會已依立法院臨時提案決議函詢相關部會，經回復所得資訊，尚無具體事證顯示該公司股東涉代持等違反相關附款情形。鏡電視相關案件已由檢調單位偵查中，通傳會尊重並配合審查程序，有涉行政程序法等規定情形，將依法究辦，以維護監理機關之獨立與公正。
三、本年截至3月底執行數3,180千元，預估尚須執行19,502千元，全年共需22,682千元。</t>
    </r>
    <phoneticPr fontId="32" type="noConversion"/>
  </si>
  <si>
    <t>有線廣播電視事業發展基金</t>
    <phoneticPr fontId="32" type="noConversion"/>
  </si>
  <si>
    <r>
      <rPr>
        <b/>
        <sz val="14"/>
        <rFont val="標楷體"/>
        <family val="4"/>
        <charset val="136"/>
      </rPr>
      <t>共</t>
    </r>
    <r>
      <rPr>
        <b/>
        <sz val="14"/>
        <rFont val="Times New Roman"/>
        <family val="4"/>
      </rPr>
      <t>2</t>
    </r>
    <r>
      <rPr>
        <b/>
        <sz val="14"/>
        <rFont val="標楷體"/>
        <family val="4"/>
        <charset val="136"/>
      </rPr>
      <t>案</t>
    </r>
    <phoneticPr fontId="32" type="noConversion"/>
  </si>
  <si>
    <r>
      <rPr>
        <sz val="14"/>
        <rFont val="標楷體"/>
        <family val="4"/>
        <charset val="136"/>
      </rPr>
      <t>委保</t>
    </r>
    <r>
      <rPr>
        <sz val="14"/>
        <rFont val="Times New Roman"/>
        <family val="4"/>
      </rPr>
      <t>1</t>
    </r>
    <phoneticPr fontId="32" type="noConversion"/>
  </si>
  <si>
    <t>「有線廣播電視現況調查及服務品質提升計畫-服務費用」編列307萬5千元，凍結10％，待通傳會說明三立毋須裁罰之理由及法律依據，並於1個月內向立法院交通委員會提出專案檢討報告，經同意後始可動支。</t>
    <phoneticPr fontId="32" type="noConversion"/>
  </si>
  <si>
    <r>
      <rPr>
        <b/>
        <sz val="14"/>
        <rFont val="標楷體"/>
        <family val="4"/>
        <charset val="136"/>
      </rPr>
      <t>一、建請免予減凍結，並修正提案文字為「…，爰通傳會應就本案調查經過及後續辦理情形，向立法院交通委員會提出書面報告。」</t>
    </r>
    <r>
      <rPr>
        <sz val="14"/>
        <rFont val="標楷體"/>
        <family val="4"/>
        <charset val="136"/>
      </rPr>
      <t xml:space="preserve">
二、通傳會已於112年11月29日作成本案調查報告並提交至立法院交通委員會。並於本（113）年1月24日第1103次委員會議決議，要求泓順公司（中嘉上層）應於同年5月31日前向通傳會陳報爭議股權尋得受讓對象及取得該會同意，並應於同年8月31日前完成股權處分程序。為落實監理該公司履行通傳會107年中嘉案所為附負擔行政處分之要求，通傳會將依第1103次委員會議決議，按月追蹤該公司申報前揭項目之執行情形。
三、因本計畫刻正辦理採購作業，截至3月底尚無執行數，預估尚須執行3,075千元，全年共需3,075千元。</t>
    </r>
    <phoneticPr fontId="32" type="noConversion"/>
  </si>
  <si>
    <r>
      <rPr>
        <sz val="14"/>
        <rFont val="標楷體"/>
        <family val="4"/>
        <charset val="136"/>
      </rPr>
      <t>委保</t>
    </r>
    <r>
      <rPr>
        <sz val="14"/>
        <rFont val="Times New Roman"/>
        <family val="4"/>
      </rPr>
      <t>2</t>
    </r>
    <phoneticPr fontId="32" type="noConversion"/>
  </si>
  <si>
    <t>「有線廣播電視現況調查及服務品質提升計畫-服務費用」編列307萬5千元，凍結10％，待通傳會說明為何系統業者已出現違法股權移轉變動情形卻毫無所悉之原因，並於1個月內向立法院交通委員會提出專案檢討報告，經同意後始可動支。</t>
    <phoneticPr fontId="32" type="noConversion"/>
  </si>
  <si>
    <r>
      <rPr>
        <b/>
        <sz val="14"/>
        <rFont val="標楷體"/>
        <family val="4"/>
        <charset val="136"/>
      </rPr>
      <t>一、建請免予減凍結，並修正提案文字為「…，爰通傳會應就本案後續之檢討與未來對有線電視系統經營者股權變動監理之修法方向，向立法院交通委員會提出書面報告。」</t>
    </r>
    <r>
      <rPr>
        <sz val="14"/>
        <rFont val="標楷體"/>
        <family val="4"/>
        <charset val="136"/>
      </rPr>
      <t xml:space="preserve">
二、鑑於中嘉集團因上層股權異動而致未履行通傳會行政處分所附加負擔，該會已著手討論有線廣播電視法相關修正事宜，期望藉由相關法規之修正促使有線電視產業朝向市場健全方向發展。
三、因本計畫刻正辦理採購作業，截至3月底尚無執行數，預估尚須執行3,075千元，全年共需3,075千元。</t>
    </r>
    <phoneticPr fontId="32" type="noConversion"/>
  </si>
  <si>
    <r>
      <rPr>
        <sz val="14"/>
        <rFont val="標楷體"/>
        <family val="4"/>
        <charset val="136"/>
      </rPr>
      <t>註：</t>
    </r>
    <r>
      <rPr>
        <sz val="14"/>
        <rFont val="Times New Roman"/>
        <family val="1"/>
      </rPr>
      <t xml:space="preserve"> 1.</t>
    </r>
    <r>
      <rPr>
        <sz val="14"/>
        <rFont val="標楷體"/>
        <family val="4"/>
        <charset val="136"/>
      </rPr>
      <t>「委員會序號」欄之填列方式：請按</t>
    </r>
    <r>
      <rPr>
        <b/>
        <sz val="14"/>
        <color indexed="10"/>
        <rFont val="標楷體"/>
        <family val="4"/>
        <charset val="136"/>
      </rPr>
      <t>財委會編碼</t>
    </r>
    <r>
      <rPr>
        <sz val="14"/>
        <rFont val="標楷體"/>
        <family val="4"/>
        <charset val="136"/>
      </rPr>
      <t>填列。</t>
    </r>
    <phoneticPr fontId="32" type="noConversion"/>
  </si>
  <si>
    <r>
      <t xml:space="preserve"> 2.</t>
    </r>
    <r>
      <rPr>
        <sz val="14"/>
        <rFont val="標楷體"/>
        <family val="4"/>
        <charset val="136"/>
      </rPr>
      <t>「提案序號」欄之填列方式：請填原提案編號，若為</t>
    </r>
    <r>
      <rPr>
        <b/>
        <sz val="14"/>
        <color indexed="10"/>
        <rFont val="標楷體"/>
        <family val="4"/>
        <charset val="136"/>
      </rPr>
      <t>委員會決議以「委決</t>
    </r>
    <r>
      <rPr>
        <b/>
        <sz val="14"/>
        <color indexed="10"/>
        <rFont val="Times New Roman"/>
        <family val="1"/>
      </rPr>
      <t>1</t>
    </r>
    <r>
      <rPr>
        <b/>
        <sz val="14"/>
        <color indexed="10"/>
        <rFont val="標楷體"/>
        <family val="4"/>
        <charset val="136"/>
      </rPr>
      <t>」、「委決</t>
    </r>
    <r>
      <rPr>
        <b/>
        <sz val="14"/>
        <color indexed="10"/>
        <rFont val="Times New Roman"/>
        <family val="1"/>
      </rPr>
      <t>2</t>
    </r>
    <r>
      <rPr>
        <b/>
        <sz val="14"/>
        <color indexed="10"/>
        <rFont val="標楷體"/>
        <family val="4"/>
        <charset val="136"/>
      </rPr>
      <t>」；保留院會處理提案以「委保</t>
    </r>
    <r>
      <rPr>
        <b/>
        <sz val="14"/>
        <color indexed="10"/>
        <rFont val="Times New Roman"/>
        <family val="1"/>
      </rPr>
      <t>1</t>
    </r>
    <r>
      <rPr>
        <b/>
        <sz val="14"/>
        <color indexed="10"/>
        <rFont val="標楷體"/>
        <family val="4"/>
        <charset val="136"/>
      </rPr>
      <t>」、「委保</t>
    </r>
    <r>
      <rPr>
        <b/>
        <sz val="14"/>
        <color indexed="10"/>
        <rFont val="Times New Roman"/>
        <family val="1"/>
      </rPr>
      <t>2</t>
    </r>
    <r>
      <rPr>
        <b/>
        <sz val="14"/>
        <color indexed="10"/>
        <rFont val="標楷體"/>
        <family val="4"/>
        <charset val="136"/>
      </rPr>
      <t>」之簡稱</t>
    </r>
    <r>
      <rPr>
        <sz val="14"/>
        <rFont val="標楷體"/>
        <family val="4"/>
        <charset val="136"/>
      </rPr>
      <t>，以此類推。</t>
    </r>
    <phoneticPr fontId="32" type="noConversion"/>
  </si>
  <si>
    <r>
      <t xml:space="preserve"> 3.</t>
    </r>
    <r>
      <rPr>
        <sz val="14"/>
        <rFont val="標楷體"/>
        <family val="4"/>
        <charset val="136"/>
      </rPr>
      <t>「提案黨團」欄之填列方式：請以</t>
    </r>
    <r>
      <rPr>
        <b/>
        <sz val="14"/>
        <color indexed="10"/>
        <rFont val="標楷體"/>
        <family val="4"/>
        <charset val="136"/>
      </rPr>
      <t>「國民黨」、「民進黨」、「民眾黨」及「時代力量」</t>
    </r>
    <r>
      <rPr>
        <sz val="14"/>
        <rFont val="標楷體"/>
        <family val="4"/>
        <charset val="136"/>
      </rPr>
      <t>等擇一填列。</t>
    </r>
    <phoneticPr fontId="32" type="noConversion"/>
  </si>
  <si>
    <r>
      <t xml:space="preserve"> 4.</t>
    </r>
    <r>
      <rPr>
        <sz val="14"/>
        <rFont val="標楷體"/>
        <family val="4"/>
        <charset val="136"/>
      </rPr>
      <t>「提案委員」欄之填列方式：請填</t>
    </r>
    <r>
      <rPr>
        <b/>
        <sz val="14"/>
        <color indexed="10"/>
        <rFont val="標楷體"/>
        <family val="4"/>
        <charset val="136"/>
      </rPr>
      <t>第</t>
    </r>
    <r>
      <rPr>
        <b/>
        <sz val="14"/>
        <color indexed="10"/>
        <rFont val="Times New Roman"/>
        <family val="1"/>
      </rPr>
      <t>1</t>
    </r>
    <r>
      <rPr>
        <b/>
        <sz val="14"/>
        <color indexed="10"/>
        <rFont val="標楷體"/>
        <family val="4"/>
        <charset val="136"/>
      </rPr>
      <t>位提案人</t>
    </r>
    <r>
      <rPr>
        <sz val="14"/>
        <rFont val="標楷體"/>
        <family val="4"/>
        <charset val="136"/>
      </rPr>
      <t>即可。</t>
    </r>
    <phoneticPr fontId="32" type="noConversion"/>
  </si>
  <si>
    <r>
      <t xml:space="preserve"> 5.</t>
    </r>
    <r>
      <rPr>
        <sz val="14"/>
        <rFont val="標楷體"/>
        <family val="4"/>
        <charset val="136"/>
      </rPr>
      <t>為因應</t>
    </r>
    <r>
      <rPr>
        <sz val="14"/>
        <rFont val="Times New Roman"/>
        <family val="1"/>
      </rPr>
      <t>EXCEL</t>
    </r>
    <r>
      <rPr>
        <sz val="14"/>
        <rFont val="標楷體"/>
        <family val="4"/>
        <charset val="136"/>
      </rPr>
      <t>版本排版自動折行問題，項目內容如有</t>
    </r>
    <r>
      <rPr>
        <sz val="14"/>
        <rFont val="Times New Roman"/>
        <family val="1"/>
      </rPr>
      <t>"</t>
    </r>
    <r>
      <rPr>
        <sz val="14"/>
        <color indexed="10"/>
        <rFont val="Times New Roman"/>
        <family val="1"/>
      </rPr>
      <t>-</t>
    </r>
    <r>
      <rPr>
        <sz val="14"/>
        <rFont val="Times New Roman"/>
        <family val="1"/>
      </rPr>
      <t>"</t>
    </r>
    <r>
      <rPr>
        <sz val="14"/>
        <rFont val="標楷體"/>
        <family val="4"/>
        <charset val="136"/>
      </rPr>
      <t>請</t>
    </r>
    <r>
      <rPr>
        <b/>
        <sz val="14"/>
        <color indexed="10"/>
        <rFont val="標楷體"/>
        <family val="4"/>
        <charset val="136"/>
      </rPr>
      <t>一律以全形</t>
    </r>
    <r>
      <rPr>
        <b/>
        <sz val="14"/>
        <color indexed="10"/>
        <rFont val="Times New Roman"/>
        <family val="1"/>
      </rPr>
      <t>"</t>
    </r>
    <r>
      <rPr>
        <b/>
        <sz val="14"/>
        <color indexed="10"/>
        <rFont val="標楷體"/>
        <family val="4"/>
        <charset val="136"/>
      </rPr>
      <t>－</t>
    </r>
    <r>
      <rPr>
        <b/>
        <sz val="14"/>
        <color indexed="10"/>
        <rFont val="Times New Roman"/>
        <family val="1"/>
      </rPr>
      <t>"</t>
    </r>
    <r>
      <rPr>
        <b/>
        <sz val="14"/>
        <color indexed="10"/>
        <rFont val="標楷體"/>
        <family val="4"/>
        <charset val="136"/>
      </rPr>
      <t>表達</t>
    </r>
    <r>
      <rPr>
        <sz val="14"/>
        <rFont val="標楷體"/>
        <family val="4"/>
        <charset val="136"/>
      </rPr>
      <t>。</t>
    </r>
    <phoneticPr fontId="32" type="noConversion"/>
  </si>
  <si>
    <r>
      <rPr>
        <sz val="14"/>
        <rFont val="標楷體"/>
        <family val="4"/>
        <charset val="136"/>
      </rPr>
      <t>【範例</t>
    </r>
    <r>
      <rPr>
        <sz val="14"/>
        <rFont val="Times New Roman"/>
        <family val="1"/>
      </rPr>
      <t>3</t>
    </r>
    <r>
      <rPr>
        <sz val="14"/>
        <rFont val="標楷體"/>
        <family val="4"/>
        <charset val="136"/>
      </rPr>
      <t>】建議併案處理者</t>
    </r>
    <phoneticPr fontId="32" type="noConversion"/>
  </si>
  <si>
    <r>
      <t>……</t>
    </r>
    <r>
      <rPr>
        <sz val="14"/>
        <rFont val="標楷體"/>
        <family val="4"/>
        <charset val="136"/>
      </rPr>
      <t xml:space="preserve">。
</t>
    </r>
    <r>
      <rPr>
        <b/>
        <sz val="14"/>
        <rFont val="Times New Roman"/>
        <family val="1"/>
      </rPr>
      <t xml:space="preserve">
(</t>
    </r>
    <r>
      <rPr>
        <b/>
        <sz val="14"/>
        <rFont val="標楷體"/>
        <family val="4"/>
        <charset val="136"/>
      </rPr>
      <t>委員會決議：「○○科目或工作計畫」刪減</t>
    </r>
    <r>
      <rPr>
        <b/>
        <sz val="14"/>
        <rFont val="Times New Roman"/>
        <family val="1"/>
      </rPr>
      <t>XX</t>
    </r>
    <r>
      <rPr>
        <b/>
        <sz val="14"/>
        <rFont val="標楷體"/>
        <family val="4"/>
        <charset val="136"/>
      </rPr>
      <t>千元</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phoneticPr fontId="32" type="noConversion"/>
  </si>
  <si>
    <r>
      <t>114</t>
    </r>
    <r>
      <rPr>
        <b/>
        <sz val="20"/>
        <rFont val="標楷體"/>
        <family val="4"/>
        <charset val="136"/>
      </rPr>
      <t>年度附屬單位預算案提案彙總表－非營業基金</t>
    </r>
    <r>
      <rPr>
        <b/>
        <sz val="20"/>
        <rFont val="Times New Roman"/>
        <family val="1"/>
      </rPr>
      <t xml:space="preserve">         </t>
    </r>
    <phoneticPr fontId="32" type="noConversion"/>
  </si>
  <si>
    <r>
      <rPr>
        <b/>
        <sz val="14"/>
        <rFont val="標楷體"/>
        <family val="4"/>
        <charset val="136"/>
      </rPr>
      <t>提案項目內容</t>
    </r>
    <r>
      <rPr>
        <b/>
        <sz val="14"/>
        <rFont val="Times New Roman"/>
        <family val="1"/>
      </rPr>
      <t>(</t>
    </r>
    <r>
      <rPr>
        <b/>
        <sz val="14"/>
        <rFont val="標楷體"/>
        <family val="4"/>
        <charset val="136"/>
      </rPr>
      <t>簡要</t>
    </r>
    <r>
      <rPr>
        <b/>
        <sz val="14"/>
        <rFont val="Times New Roman"/>
        <family val="1"/>
      </rPr>
      <t>)
(</t>
    </r>
    <r>
      <rPr>
        <b/>
        <sz val="14"/>
        <rFont val="標楷體"/>
        <family val="4"/>
        <charset val="136"/>
      </rPr>
      <t>請簡要說明，不超過</t>
    </r>
    <r>
      <rPr>
        <b/>
        <sz val="14"/>
        <rFont val="Times New Roman"/>
        <family val="1"/>
      </rPr>
      <t>6</t>
    </r>
    <r>
      <rPr>
        <b/>
        <sz val="14"/>
        <rFont val="標楷體"/>
        <family val="4"/>
        <charset val="136"/>
      </rPr>
      <t>行</t>
    </r>
    <r>
      <rPr>
        <b/>
        <sz val="14"/>
        <rFont val="Times New Roman"/>
        <family val="1"/>
      </rPr>
      <t>)</t>
    </r>
    <phoneticPr fontId="32" type="noConversion"/>
  </si>
  <si>
    <r>
      <rPr>
        <b/>
        <sz val="14"/>
        <rFont val="標楷體"/>
        <family val="4"/>
        <charset val="136"/>
      </rPr>
      <t>刪減</t>
    </r>
    <r>
      <rPr>
        <b/>
        <sz val="14"/>
        <rFont val="Times New Roman"/>
        <family val="1"/>
      </rPr>
      <t>/</t>
    </r>
    <r>
      <rPr>
        <b/>
        <sz val="14"/>
        <rFont val="標楷體"/>
        <family val="4"/>
        <charset val="136"/>
      </rPr>
      <t>增列</t>
    </r>
    <phoneticPr fontId="32" type="noConversion"/>
  </si>
  <si>
    <r>
      <rPr>
        <b/>
        <sz val="14"/>
        <rFont val="標楷體"/>
        <family val="4"/>
        <charset val="136"/>
      </rPr>
      <t>刪減及凍結</t>
    </r>
    <phoneticPr fontId="32" type="noConversion"/>
  </si>
  <si>
    <r>
      <rPr>
        <b/>
        <sz val="14"/>
        <rFont val="標楷體"/>
        <family val="4"/>
        <charset val="136"/>
      </rPr>
      <t>主決議</t>
    </r>
    <phoneticPr fontId="32" type="noConversion"/>
  </si>
  <si>
    <r>
      <rPr>
        <b/>
        <sz val="14"/>
        <rFont val="標楷體"/>
        <family val="4"/>
        <charset val="136"/>
      </rPr>
      <t>共</t>
    </r>
    <r>
      <rPr>
        <b/>
        <sz val="14"/>
        <rFont val="Times New Roman"/>
        <family val="1"/>
      </rPr>
      <t>102</t>
    </r>
    <r>
      <rPr>
        <b/>
        <sz val="14"/>
        <rFont val="標楷體"/>
        <family val="4"/>
        <charset val="136"/>
      </rPr>
      <t>案</t>
    </r>
    <phoneticPr fontId="32" type="noConversion"/>
  </si>
  <si>
    <r>
      <rPr>
        <b/>
        <sz val="14"/>
        <rFont val="標楷體"/>
        <family val="4"/>
        <charset val="136"/>
      </rPr>
      <t>法務部主管</t>
    </r>
    <phoneticPr fontId="32" type="noConversion"/>
  </si>
  <si>
    <r>
      <rPr>
        <b/>
        <sz val="14"/>
        <rFont val="標楷體"/>
        <family val="4"/>
        <charset val="136"/>
      </rPr>
      <t>共</t>
    </r>
    <r>
      <rPr>
        <b/>
        <sz val="14"/>
        <rFont val="Times New Roman"/>
        <family val="1"/>
      </rPr>
      <t>1</t>
    </r>
    <r>
      <rPr>
        <b/>
        <sz val="14"/>
        <rFont val="標楷體"/>
        <family val="4"/>
        <charset val="136"/>
      </rPr>
      <t>案</t>
    </r>
    <phoneticPr fontId="32" type="noConversion"/>
  </si>
  <si>
    <r>
      <rPr>
        <b/>
        <sz val="14"/>
        <rFont val="標楷體"/>
        <family val="4"/>
        <charset val="136"/>
      </rPr>
      <t>法務部矯正機關作業基金</t>
    </r>
    <phoneticPr fontId="32" type="noConversion"/>
  </si>
  <si>
    <r>
      <rPr>
        <sz val="14"/>
        <rFont val="標楷體"/>
        <family val="4"/>
        <charset val="136"/>
      </rPr>
      <t>國民黨</t>
    </r>
    <phoneticPr fontId="32" type="noConversion"/>
  </si>
  <si>
    <r>
      <rPr>
        <sz val="14"/>
        <rFont val="標楷體"/>
        <family val="4"/>
        <charset val="136"/>
      </rPr>
      <t>翁曉玲</t>
    </r>
    <phoneticPr fontId="32" type="noConversion"/>
  </si>
  <si>
    <r>
      <t>114</t>
    </r>
    <r>
      <rPr>
        <sz val="14"/>
        <rFont val="標楷體"/>
        <family val="4"/>
        <charset val="136"/>
      </rPr>
      <t>年度預計短絀</t>
    </r>
    <r>
      <rPr>
        <sz val="14"/>
        <rFont val="Times New Roman"/>
        <family val="1"/>
      </rPr>
      <t>1</t>
    </r>
    <r>
      <rPr>
        <sz val="14"/>
        <rFont val="標楷體"/>
        <family val="4"/>
        <charset val="136"/>
      </rPr>
      <t>億</t>
    </r>
    <r>
      <rPr>
        <sz val="14"/>
        <rFont val="Times New Roman"/>
        <family val="1"/>
      </rPr>
      <t>896</t>
    </r>
    <r>
      <rPr>
        <sz val="14"/>
        <rFont val="標楷體"/>
        <family val="4"/>
        <charset val="136"/>
      </rPr>
      <t>萬</t>
    </r>
    <r>
      <rPr>
        <sz val="14"/>
        <rFont val="Times New Roman"/>
        <family val="1"/>
      </rPr>
      <t>3</t>
    </r>
    <r>
      <rPr>
        <sz val="14"/>
        <rFont val="標楷體"/>
        <family val="4"/>
        <charset val="136"/>
      </rPr>
      <t>千元，為近</t>
    </r>
    <r>
      <rPr>
        <sz val="14"/>
        <rFont val="Times New Roman"/>
        <family val="1"/>
      </rPr>
      <t>5</t>
    </r>
    <r>
      <rPr>
        <sz val="14"/>
        <rFont val="標楷體"/>
        <family val="4"/>
        <charset val="136"/>
      </rPr>
      <t>年新高，應籌謀提升業務收入及資金運用收益，妥為控制成本及費用，爰提案凍結歲出預算</t>
    </r>
    <r>
      <rPr>
        <sz val="14"/>
        <rFont val="Times New Roman"/>
        <family val="1"/>
      </rPr>
      <t>1,000</t>
    </r>
    <r>
      <rPr>
        <sz val="14"/>
        <rFont val="標楷體"/>
        <family val="4"/>
        <charset val="136"/>
      </rPr>
      <t>萬元，俟提出專案報告，並經同意後始得動支。</t>
    </r>
    <phoneticPr fontId="32" type="noConversion"/>
  </si>
  <si>
    <r>
      <rPr>
        <b/>
        <sz val="14"/>
        <rFont val="標楷體"/>
        <family val="4"/>
        <charset val="136"/>
      </rPr>
      <t>一、建請免予凍結，並修正提案文字為「</t>
    </r>
    <r>
      <rPr>
        <b/>
        <sz val="14"/>
        <rFont val="Times New Roman"/>
        <family val="1"/>
      </rPr>
      <t>……</t>
    </r>
    <r>
      <rPr>
        <b/>
        <sz val="14"/>
        <rFont val="標楷體"/>
        <family val="4"/>
        <charset val="136"/>
      </rPr>
      <t>，爰法務部應向立法院司法及法制委員會提出書面報告。」。</t>
    </r>
    <r>
      <rPr>
        <sz val="14"/>
        <rFont val="Times New Roman"/>
        <family val="1"/>
      </rPr>
      <t xml:space="preserve">
</t>
    </r>
    <r>
      <rPr>
        <sz val="14"/>
        <rFont val="標楷體"/>
        <family val="4"/>
        <charset val="136"/>
      </rPr>
      <t>二、</t>
    </r>
    <r>
      <rPr>
        <sz val="14"/>
        <rFont val="Times New Roman"/>
        <family val="1"/>
      </rPr>
      <t>109</t>
    </r>
    <r>
      <rPr>
        <sz val="14"/>
        <rFont val="標楷體"/>
        <family val="4"/>
        <charset val="136"/>
      </rPr>
      <t>年</t>
    </r>
    <r>
      <rPr>
        <sz val="14"/>
        <rFont val="Times New Roman"/>
        <family val="1"/>
      </rPr>
      <t>7</t>
    </r>
    <r>
      <rPr>
        <sz val="14"/>
        <rFont val="標楷體"/>
        <family val="4"/>
        <charset val="136"/>
      </rPr>
      <t>月</t>
    </r>
    <r>
      <rPr>
        <sz val="14"/>
        <rFont val="Times New Roman"/>
        <family val="1"/>
      </rPr>
      <t>15</t>
    </r>
    <r>
      <rPr>
        <sz val="14"/>
        <rFont val="標楷體"/>
        <family val="4"/>
        <charset val="136"/>
      </rPr>
      <t>日修法後，收容人勞作金提撥比率由</t>
    </r>
    <r>
      <rPr>
        <sz val="14"/>
        <rFont val="Times New Roman"/>
        <family val="1"/>
      </rPr>
      <t>37.5%</t>
    </r>
    <r>
      <rPr>
        <sz val="14"/>
        <rFont val="標楷體"/>
        <family val="4"/>
        <charset val="136"/>
      </rPr>
      <t>提高到</t>
    </r>
    <r>
      <rPr>
        <sz val="14"/>
        <rFont val="Times New Roman"/>
        <family val="1"/>
      </rPr>
      <t>60%</t>
    </r>
    <r>
      <rPr>
        <sz val="14"/>
        <rFont val="標楷體"/>
        <family val="4"/>
        <charset val="136"/>
      </rPr>
      <t>，以及支應非屬作業產生的收容人照護支出持續增加所致；本部矯正署已就收入提升及成本控管積極因應，且基金近</t>
    </r>
    <r>
      <rPr>
        <sz val="14"/>
        <rFont val="Times New Roman"/>
        <family val="1"/>
      </rPr>
      <t>10</t>
    </r>
    <r>
      <rPr>
        <sz val="14"/>
        <rFont val="標楷體"/>
        <family val="4"/>
        <charset val="136"/>
      </rPr>
      <t>年度整體業務收入呈穩定成長趨勢。
三、本年截至</t>
    </r>
    <r>
      <rPr>
        <sz val="14"/>
        <rFont val="Times New Roman"/>
        <family val="1"/>
      </rPr>
      <t>4</t>
    </r>
    <r>
      <rPr>
        <sz val="14"/>
        <rFont val="標楷體"/>
        <family val="4"/>
        <charset val="136"/>
      </rPr>
      <t>月底執行數</t>
    </r>
    <r>
      <rPr>
        <sz val="14"/>
        <rFont val="Times New Roman"/>
        <family val="1"/>
      </rPr>
      <t>363,004</t>
    </r>
    <r>
      <rPr>
        <sz val="14"/>
        <rFont val="標楷體"/>
        <family val="4"/>
        <charset val="136"/>
      </rPr>
      <t>千元，預估尚須執行</t>
    </r>
    <r>
      <rPr>
        <sz val="14"/>
        <rFont val="Times New Roman"/>
        <family val="1"/>
      </rPr>
      <t>861,417</t>
    </r>
    <r>
      <rPr>
        <sz val="14"/>
        <rFont val="標楷體"/>
        <family val="4"/>
        <charset val="136"/>
      </rPr>
      <t>千元，全年共需</t>
    </r>
    <r>
      <rPr>
        <sz val="14"/>
        <rFont val="Times New Roman"/>
        <family val="1"/>
      </rPr>
      <t>1,224,421</t>
    </r>
    <r>
      <rPr>
        <sz val="14"/>
        <rFont val="標楷體"/>
        <family val="4"/>
        <charset val="136"/>
      </rPr>
      <t>千元。</t>
    </r>
    <phoneticPr fontId="32" type="noConversion"/>
  </si>
  <si>
    <r>
      <rPr>
        <b/>
        <sz val="14"/>
        <rFont val="標楷體"/>
        <family val="4"/>
        <charset val="136"/>
      </rPr>
      <t>通傳會主管</t>
    </r>
    <phoneticPr fontId="32" type="noConversion"/>
  </si>
  <si>
    <r>
      <rPr>
        <b/>
        <sz val="14"/>
        <rFont val="標楷體"/>
        <family val="4"/>
        <charset val="136"/>
      </rPr>
      <t>共</t>
    </r>
    <r>
      <rPr>
        <b/>
        <sz val="14"/>
        <rFont val="Times New Roman"/>
        <family val="1"/>
      </rPr>
      <t>101</t>
    </r>
    <r>
      <rPr>
        <b/>
        <sz val="14"/>
        <rFont val="標楷體"/>
        <family val="4"/>
        <charset val="136"/>
      </rPr>
      <t>案</t>
    </r>
    <phoneticPr fontId="32" type="noConversion"/>
  </si>
  <si>
    <r>
      <rPr>
        <b/>
        <sz val="14"/>
        <rFont val="標楷體"/>
        <family val="4"/>
        <charset val="136"/>
      </rPr>
      <t>通訊傳播監督管理基金</t>
    </r>
    <phoneticPr fontId="32" type="noConversion"/>
  </si>
  <si>
    <r>
      <rPr>
        <b/>
        <sz val="14"/>
        <rFont val="標楷體"/>
        <family val="4"/>
        <charset val="136"/>
      </rPr>
      <t>共</t>
    </r>
    <r>
      <rPr>
        <b/>
        <sz val="14"/>
        <rFont val="Times New Roman"/>
        <family val="1"/>
      </rPr>
      <t>77</t>
    </r>
    <r>
      <rPr>
        <b/>
        <sz val="14"/>
        <rFont val="標楷體"/>
        <family val="4"/>
        <charset val="136"/>
      </rPr>
      <t>案</t>
    </r>
    <phoneticPr fontId="32" type="noConversion"/>
  </si>
  <si>
    <r>
      <rPr>
        <sz val="14"/>
        <rFont val="標楷體"/>
        <family val="4"/>
        <charset val="136"/>
      </rPr>
      <t>委保</t>
    </r>
    <r>
      <rPr>
        <sz val="14"/>
        <rFont val="Times New Roman"/>
        <family val="1"/>
      </rPr>
      <t>1</t>
    </r>
  </si>
  <si>
    <r>
      <rPr>
        <sz val="14"/>
        <rFont val="標楷體"/>
        <family val="4"/>
        <charset val="136"/>
      </rPr>
      <t>國民黨</t>
    </r>
  </si>
  <si>
    <r>
      <rPr>
        <sz val="14"/>
        <rFont val="標楷體"/>
        <family val="4"/>
        <charset val="136"/>
      </rPr>
      <t>魯明哲</t>
    </r>
  </si>
  <si>
    <r>
      <rPr>
        <sz val="14"/>
        <rFont val="標楷體"/>
        <family val="4"/>
        <charset val="136"/>
      </rPr>
      <t>「服務費用</t>
    </r>
    <r>
      <rPr>
        <sz val="14"/>
        <rFont val="Times New Roman"/>
        <family val="1"/>
      </rPr>
      <t>-</t>
    </r>
    <r>
      <rPr>
        <sz val="14"/>
        <rFont val="標楷體"/>
        <family val="4"/>
        <charset val="136"/>
      </rPr>
      <t>水電費」編列</t>
    </r>
    <r>
      <rPr>
        <sz val="14"/>
        <rFont val="Times New Roman"/>
        <family val="1"/>
      </rPr>
      <t>554</t>
    </r>
    <r>
      <rPr>
        <sz val="14"/>
        <rFont val="標楷體"/>
        <family val="4"/>
        <charset val="136"/>
      </rPr>
      <t>萬</t>
    </r>
    <r>
      <rPr>
        <sz val="14"/>
        <rFont val="Times New Roman"/>
        <family val="1"/>
      </rPr>
      <t>5</t>
    </r>
    <r>
      <rPr>
        <sz val="14"/>
        <rFont val="標楷體"/>
        <family val="4"/>
        <charset val="136"/>
      </rPr>
      <t>千元，政府行政部門對於節能減碳應以身作則，爰減列</t>
    </r>
    <r>
      <rPr>
        <sz val="14"/>
        <rFont val="Times New Roman"/>
        <family val="1"/>
      </rPr>
      <t>33</t>
    </r>
    <r>
      <rPr>
        <sz val="14"/>
        <rFont val="標楷體"/>
        <family val="4"/>
        <charset val="136"/>
      </rPr>
      <t>萬</t>
    </r>
    <r>
      <rPr>
        <sz val="14"/>
        <rFont val="Times New Roman"/>
        <family val="1"/>
      </rPr>
      <t>4</t>
    </r>
    <r>
      <rPr>
        <sz val="14"/>
        <rFont val="標楷體"/>
        <family val="4"/>
        <charset val="136"/>
      </rPr>
      <t>千元。</t>
    </r>
  </si>
  <si>
    <r>
      <rPr>
        <b/>
        <sz val="14"/>
        <rFont val="標楷體"/>
        <family val="4"/>
        <charset val="136"/>
      </rPr>
      <t>一、建請免予減列，改主決議。</t>
    </r>
    <r>
      <rPr>
        <b/>
        <sz val="14"/>
        <rFont val="Times New Roman"/>
        <family val="1"/>
      </rPr>
      <t xml:space="preserve"> </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年度通傳基金水電費編列係支應辦公廳舍及電波監測站</t>
    </r>
    <r>
      <rPr>
        <sz val="14"/>
        <rFont val="Times New Roman"/>
        <family val="1"/>
      </rPr>
      <t>(24</t>
    </r>
    <r>
      <rPr>
        <sz val="14"/>
        <rFont val="標楷體"/>
        <family val="4"/>
        <charset val="136"/>
      </rPr>
      <t>小時冷氣運轉</t>
    </r>
    <r>
      <rPr>
        <sz val="14"/>
        <rFont val="Times New Roman"/>
        <family val="1"/>
      </rPr>
      <t>)</t>
    </r>
    <r>
      <rPr>
        <sz val="14"/>
        <rFont val="標楷體"/>
        <family val="4"/>
        <charset val="136"/>
      </rPr>
      <t>正常運作及維持電波監測能量之必要費用，因近年電價逐年調漲及炎熱高溫天數增多，考量以前年度支用數與未來電費調整情形，編列合理用電費用，並在預算允許範圍內逐年汰換老舊耗能設備及已研擬相關節能措施，期達成節能目標。</t>
    </r>
    <r>
      <rPr>
        <sz val="14"/>
        <rFont val="Times New Roman"/>
        <family val="1"/>
      </rPr>
      <t xml:space="preserve">                                                                    </t>
    </r>
    <r>
      <rPr>
        <sz val="14"/>
        <rFont val="標楷體"/>
        <family val="4"/>
        <charset val="136"/>
      </rPr>
      <t>三、本年截至</t>
    </r>
    <r>
      <rPr>
        <sz val="14"/>
        <rFont val="Times New Roman"/>
        <family val="1"/>
      </rPr>
      <t>4</t>
    </r>
    <r>
      <rPr>
        <sz val="14"/>
        <rFont val="標楷體"/>
        <family val="4"/>
        <charset val="136"/>
      </rPr>
      <t>月底執行數</t>
    </r>
    <r>
      <rPr>
        <sz val="14"/>
        <rFont val="Times New Roman"/>
        <family val="1"/>
      </rPr>
      <t>1,378</t>
    </r>
    <r>
      <rPr>
        <sz val="14"/>
        <rFont val="標楷體"/>
        <family val="4"/>
        <charset val="136"/>
      </rPr>
      <t>千元，預估尚須執行</t>
    </r>
    <r>
      <rPr>
        <sz val="14"/>
        <rFont val="Times New Roman"/>
        <family val="1"/>
      </rPr>
      <t>4,167</t>
    </r>
    <r>
      <rPr>
        <sz val="14"/>
        <rFont val="標楷體"/>
        <family val="4"/>
        <charset val="136"/>
      </rPr>
      <t>千元，全年共</t>
    </r>
    <r>
      <rPr>
        <sz val="14"/>
        <rFont val="Times New Roman"/>
        <family val="1"/>
      </rPr>
      <t>5,545</t>
    </r>
    <r>
      <rPr>
        <sz val="14"/>
        <rFont val="標楷體"/>
        <family val="4"/>
        <charset val="136"/>
      </rPr>
      <t>千元。</t>
    </r>
    <phoneticPr fontId="32" type="noConversion"/>
  </si>
  <si>
    <r>
      <rPr>
        <sz val="14"/>
        <rFont val="標楷體"/>
        <family val="4"/>
        <charset val="136"/>
      </rPr>
      <t>委保</t>
    </r>
    <r>
      <rPr>
        <sz val="14"/>
        <rFont val="Times New Roman"/>
        <family val="1"/>
      </rPr>
      <t>2</t>
    </r>
  </si>
  <si>
    <r>
      <rPr>
        <sz val="14"/>
        <rFont val="標楷體"/>
        <family val="4"/>
        <charset val="136"/>
      </rPr>
      <t>民進黨</t>
    </r>
  </si>
  <si>
    <r>
      <rPr>
        <sz val="14"/>
        <rFont val="標楷體"/>
        <family val="4"/>
        <charset val="136"/>
      </rPr>
      <t>林俊憲</t>
    </r>
  </si>
  <si>
    <r>
      <rPr>
        <sz val="14"/>
        <rFont val="標楷體"/>
        <family val="4"/>
        <charset val="136"/>
      </rPr>
      <t>「服務費用</t>
    </r>
    <r>
      <rPr>
        <sz val="14"/>
        <rFont val="Times New Roman"/>
        <family val="1"/>
      </rPr>
      <t>-</t>
    </r>
    <r>
      <rPr>
        <sz val="14"/>
        <rFont val="標楷體"/>
        <family val="4"/>
        <charset val="136"/>
      </rPr>
      <t>旅運費」編列</t>
    </r>
    <r>
      <rPr>
        <sz val="14"/>
        <rFont val="Times New Roman"/>
        <family val="1"/>
      </rPr>
      <t>1,089</t>
    </r>
    <r>
      <rPr>
        <sz val="14"/>
        <rFont val="標楷體"/>
        <family val="4"/>
        <charset val="136"/>
      </rPr>
      <t>萬</t>
    </r>
    <r>
      <rPr>
        <sz val="14"/>
        <rFont val="Times New Roman"/>
        <family val="1"/>
      </rPr>
      <t>8</t>
    </r>
    <r>
      <rPr>
        <sz val="14"/>
        <rFont val="標楷體"/>
        <family val="4"/>
        <charset val="136"/>
      </rPr>
      <t>千元，其中國外旅費占比</t>
    </r>
    <r>
      <rPr>
        <sz val="14"/>
        <rFont val="Times New Roman"/>
        <family val="1"/>
      </rPr>
      <t>31.73%</t>
    </r>
    <r>
      <rPr>
        <sz val="14"/>
        <rFont val="標楷體"/>
        <family val="4"/>
        <charset val="136"/>
      </rPr>
      <t>，惟近年執行情形欠佳，爰減列</t>
    </r>
    <r>
      <rPr>
        <sz val="14"/>
        <rFont val="Times New Roman"/>
        <family val="1"/>
      </rPr>
      <t>10%</t>
    </r>
    <r>
      <rPr>
        <sz val="14"/>
        <rFont val="標楷體"/>
        <family val="4"/>
        <charset val="136"/>
      </rPr>
      <t>。</t>
    </r>
  </si>
  <si>
    <r>
      <rPr>
        <b/>
        <sz val="14"/>
        <rFont val="標楷體"/>
        <family val="4"/>
        <charset val="136"/>
      </rPr>
      <t>一、建請免予減列，並修正提案文字為「凍結『通訊傳播監理政策企劃計畫</t>
    </r>
    <r>
      <rPr>
        <b/>
        <sz val="14"/>
        <rFont val="Times New Roman"/>
        <family val="1"/>
      </rPr>
      <t>-</t>
    </r>
    <r>
      <rPr>
        <b/>
        <sz val="14"/>
        <rFont val="標楷體"/>
        <family val="4"/>
        <charset val="136"/>
      </rPr>
      <t>服務費用</t>
    </r>
    <r>
      <rPr>
        <b/>
        <sz val="14"/>
        <rFont val="Times New Roman"/>
        <family val="1"/>
      </rPr>
      <t>-</t>
    </r>
    <r>
      <rPr>
        <b/>
        <sz val="14"/>
        <rFont val="標楷體"/>
        <family val="4"/>
        <charset val="136"/>
      </rPr>
      <t>旅運費』</t>
    </r>
    <r>
      <rPr>
        <b/>
        <sz val="14"/>
        <rFont val="Times New Roman"/>
        <family val="1"/>
      </rPr>
      <t>10%</t>
    </r>
    <r>
      <rPr>
        <b/>
        <sz val="14"/>
        <rFont val="標楷體"/>
        <family val="4"/>
        <charset val="136"/>
      </rPr>
      <t>，提書面報告後始得動支」。</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年度「服務費用</t>
    </r>
    <r>
      <rPr>
        <sz val="14"/>
        <rFont val="Times New Roman"/>
        <family val="1"/>
      </rPr>
      <t>-</t>
    </r>
    <r>
      <rPr>
        <sz val="14"/>
        <rFont val="標楷體"/>
        <family val="4"/>
        <charset val="136"/>
      </rPr>
      <t>旅運費」包含國內出差旅費、國外旅費、國內短程車資、受邀專家學者交通費等。其中「國外旅費」為參與國際通訊傳播業務交流合作之重要經費，通傳會為我國通訊傳播服務業主管機關，因應數位經濟發展及匯流趨勢，透過持續參與雙邊交流及國際會議，累積專業知能並深化國際交流，以提升我國之國際能見度。
三、</t>
    </r>
    <r>
      <rPr>
        <sz val="14"/>
        <rFont val="Times New Roman"/>
        <family val="1"/>
      </rPr>
      <t>114</t>
    </r>
    <r>
      <rPr>
        <sz val="14"/>
        <rFont val="標楷體"/>
        <family val="4"/>
        <charset val="136"/>
      </rPr>
      <t>年度「服務費用</t>
    </r>
    <r>
      <rPr>
        <sz val="14"/>
        <rFont val="Times New Roman"/>
        <family val="1"/>
      </rPr>
      <t>-</t>
    </r>
    <r>
      <rPr>
        <sz val="14"/>
        <rFont val="標楷體"/>
        <family val="4"/>
        <charset val="136"/>
      </rPr>
      <t>旅運費」本年截至</t>
    </r>
    <r>
      <rPr>
        <sz val="14"/>
        <rFont val="Times New Roman"/>
        <family val="1"/>
      </rPr>
      <t>4</t>
    </r>
    <r>
      <rPr>
        <sz val="14"/>
        <rFont val="標楷體"/>
        <family val="4"/>
        <charset val="136"/>
      </rPr>
      <t>月底執行數</t>
    </r>
    <r>
      <rPr>
        <sz val="14"/>
        <rFont val="Times New Roman"/>
        <family val="1"/>
      </rPr>
      <t>1,694</t>
    </r>
    <r>
      <rPr>
        <sz val="14"/>
        <rFont val="標楷體"/>
        <family val="4"/>
        <charset val="136"/>
      </rPr>
      <t>千元，預估尚須執行</t>
    </r>
    <r>
      <rPr>
        <sz val="14"/>
        <rFont val="Times New Roman"/>
        <family val="1"/>
      </rPr>
      <t>9,204</t>
    </r>
    <r>
      <rPr>
        <sz val="14"/>
        <rFont val="標楷體"/>
        <family val="4"/>
        <charset val="136"/>
      </rPr>
      <t>千元，全年共需</t>
    </r>
    <r>
      <rPr>
        <sz val="14"/>
        <rFont val="Times New Roman"/>
        <family val="1"/>
      </rPr>
      <t>10,898</t>
    </r>
    <r>
      <rPr>
        <sz val="14"/>
        <rFont val="標楷體"/>
        <family val="4"/>
        <charset val="136"/>
      </rPr>
      <t>千元。其中「國外旅費」本年截至</t>
    </r>
    <r>
      <rPr>
        <sz val="14"/>
        <rFont val="Times New Roman"/>
        <family val="1"/>
      </rPr>
      <t>4</t>
    </r>
    <r>
      <rPr>
        <sz val="14"/>
        <rFont val="標楷體"/>
        <family val="4"/>
        <charset val="136"/>
      </rPr>
      <t>月底執行數</t>
    </r>
    <r>
      <rPr>
        <sz val="14"/>
        <rFont val="Times New Roman"/>
        <family val="1"/>
      </rPr>
      <t>549</t>
    </r>
    <r>
      <rPr>
        <sz val="14"/>
        <rFont val="標楷體"/>
        <family val="4"/>
        <charset val="136"/>
      </rPr>
      <t>千元，預估尚須執行</t>
    </r>
    <r>
      <rPr>
        <sz val="14"/>
        <rFont val="Times New Roman"/>
        <family val="1"/>
      </rPr>
      <t>2,910</t>
    </r>
    <r>
      <rPr>
        <sz val="14"/>
        <rFont val="標楷體"/>
        <family val="4"/>
        <charset val="136"/>
      </rPr>
      <t>千元，全年共需</t>
    </r>
    <r>
      <rPr>
        <sz val="14"/>
        <rFont val="Times New Roman"/>
        <family val="1"/>
      </rPr>
      <t>3,459</t>
    </r>
    <r>
      <rPr>
        <sz val="14"/>
        <rFont val="標楷體"/>
        <family val="4"/>
        <charset val="136"/>
      </rPr>
      <t>千元。</t>
    </r>
    <phoneticPr fontId="32" type="noConversion"/>
  </si>
  <si>
    <r>
      <rPr>
        <sz val="14"/>
        <rFont val="標楷體"/>
        <family val="4"/>
        <charset val="136"/>
      </rPr>
      <t>委保</t>
    </r>
    <r>
      <rPr>
        <sz val="14"/>
        <rFont val="Times New Roman"/>
        <family val="1"/>
      </rPr>
      <t>3</t>
    </r>
  </si>
  <si>
    <r>
      <rPr>
        <sz val="14"/>
        <rFont val="標楷體"/>
        <family val="4"/>
        <charset val="136"/>
      </rPr>
      <t>「服務費用</t>
    </r>
    <r>
      <rPr>
        <sz val="14"/>
        <rFont val="Times New Roman"/>
        <family val="1"/>
      </rPr>
      <t>-</t>
    </r>
    <r>
      <rPr>
        <sz val="14"/>
        <rFont val="標楷體"/>
        <family val="4"/>
        <charset val="136"/>
      </rPr>
      <t>修理保養及保固費」編列</t>
    </r>
    <r>
      <rPr>
        <sz val="14"/>
        <rFont val="Times New Roman"/>
        <family val="1"/>
      </rPr>
      <t>3,814</t>
    </r>
    <r>
      <rPr>
        <sz val="14"/>
        <rFont val="標楷體"/>
        <family val="4"/>
        <charset val="136"/>
      </rPr>
      <t>萬</t>
    </r>
    <r>
      <rPr>
        <sz val="14"/>
        <rFont val="Times New Roman"/>
        <family val="1"/>
      </rPr>
      <t>7</t>
    </r>
    <r>
      <rPr>
        <sz val="14"/>
        <rFont val="標楷體"/>
        <family val="4"/>
        <charset val="136"/>
      </rPr>
      <t>千元，增幅達</t>
    </r>
    <r>
      <rPr>
        <sz val="14"/>
        <rFont val="Times New Roman"/>
        <family val="1"/>
      </rPr>
      <t>15.5%</t>
    </r>
    <r>
      <rPr>
        <sz val="14"/>
        <rFont val="標楷體"/>
        <family val="4"/>
        <charset val="136"/>
      </rPr>
      <t>，爰凍結</t>
    </r>
    <r>
      <rPr>
        <sz val="14"/>
        <rFont val="Times New Roman"/>
        <family val="1"/>
      </rPr>
      <t>10%</t>
    </r>
    <r>
      <rPr>
        <sz val="14"/>
        <rFont val="標楷體"/>
        <family val="4"/>
        <charset val="136"/>
      </rPr>
      <t>，待通傳會說明經費增列之由及其必要性，向交通委員會提出書面報告，經同意後始得動支。</t>
    </r>
  </si>
  <si>
    <r>
      <rPr>
        <b/>
        <sz val="14"/>
        <rFont val="標楷體"/>
        <family val="4"/>
        <charset val="136"/>
      </rPr>
      <t>一、建請修正提案文字為「</t>
    </r>
    <r>
      <rPr>
        <b/>
        <sz val="14"/>
        <rFont val="Times New Roman"/>
        <family val="1"/>
      </rPr>
      <t>……</t>
    </r>
    <r>
      <rPr>
        <b/>
        <sz val="14"/>
        <rFont val="標楷體"/>
        <family val="4"/>
        <charset val="136"/>
      </rPr>
      <t>待國家通訊傳播委員會說明經費增列之由及其必要性，向交通委員會提出書面報告，始得動支。」</t>
    </r>
    <r>
      <rPr>
        <sz val="14"/>
        <rFont val="Times New Roman"/>
        <family val="1"/>
      </rPr>
      <t xml:space="preserve">
</t>
    </r>
    <r>
      <rPr>
        <sz val="14"/>
        <rFont val="標楷體"/>
        <family val="4"/>
        <charset val="136"/>
      </rPr>
      <t>二、查通訊傳播監督管理基金</t>
    </r>
    <r>
      <rPr>
        <sz val="14"/>
        <rFont val="Times New Roman"/>
        <family val="1"/>
      </rPr>
      <t>114</t>
    </r>
    <r>
      <rPr>
        <sz val="14"/>
        <rFont val="標楷體"/>
        <family val="4"/>
        <charset val="136"/>
      </rPr>
      <t>年度「修理保養及保固費」預算編列增加，主要係因國家通訊傳播委員會新世代電波監測系統維護採購案維護標的增加（新世代高頻電波監測系統增列為維護標的）。有鑑於國家通訊傳播委員會新世代電波監測系統攸關我國電波秩序及國家安全之維護，故需持續辦理系統維護，確保系統正常運作，以維持電波監測能量。
三、本年截至</t>
    </r>
    <r>
      <rPr>
        <sz val="14"/>
        <rFont val="Times New Roman"/>
        <family val="1"/>
      </rPr>
      <t>4</t>
    </r>
    <r>
      <rPr>
        <sz val="14"/>
        <rFont val="標楷體"/>
        <family val="4"/>
        <charset val="136"/>
      </rPr>
      <t>月底執行數</t>
    </r>
    <r>
      <rPr>
        <sz val="14"/>
        <rFont val="Times New Roman"/>
        <family val="1"/>
      </rPr>
      <t>1,102</t>
    </r>
    <r>
      <rPr>
        <sz val="14"/>
        <rFont val="標楷體"/>
        <family val="4"/>
        <charset val="136"/>
      </rPr>
      <t>千元，預估尚須執行</t>
    </r>
    <r>
      <rPr>
        <sz val="14"/>
        <rFont val="Times New Roman"/>
        <family val="1"/>
      </rPr>
      <t>37,045</t>
    </r>
    <r>
      <rPr>
        <sz val="14"/>
        <rFont val="標楷體"/>
        <family val="4"/>
        <charset val="136"/>
      </rPr>
      <t>千元，全年共需</t>
    </r>
    <r>
      <rPr>
        <sz val="14"/>
        <rFont val="Times New Roman"/>
        <family val="1"/>
      </rPr>
      <t>38,147</t>
    </r>
    <r>
      <rPr>
        <sz val="14"/>
        <rFont val="標楷體"/>
        <family val="4"/>
        <charset val="136"/>
      </rPr>
      <t xml:space="preserve">千元。
</t>
    </r>
    <phoneticPr fontId="32" type="noConversion"/>
  </si>
  <si>
    <r>
      <rPr>
        <sz val="14"/>
        <rFont val="標楷體"/>
        <family val="4"/>
        <charset val="136"/>
      </rPr>
      <t>委保</t>
    </r>
    <r>
      <rPr>
        <sz val="14"/>
        <rFont val="Times New Roman"/>
        <family val="1"/>
      </rPr>
      <t>4</t>
    </r>
  </si>
  <si>
    <r>
      <rPr>
        <sz val="14"/>
        <rFont val="標楷體"/>
        <family val="4"/>
        <charset val="136"/>
      </rPr>
      <t>民眾黨</t>
    </r>
  </si>
  <si>
    <r>
      <rPr>
        <sz val="14"/>
        <rFont val="標楷體"/>
        <family val="4"/>
        <charset val="136"/>
      </rPr>
      <t>林國成</t>
    </r>
  </si>
  <si>
    <r>
      <rPr>
        <sz val="14"/>
        <rFont val="標楷體"/>
        <family val="4"/>
        <charset val="136"/>
      </rPr>
      <t>「服務費用</t>
    </r>
    <r>
      <rPr>
        <sz val="14"/>
        <rFont val="Times New Roman"/>
        <family val="1"/>
      </rPr>
      <t>-</t>
    </r>
    <r>
      <rPr>
        <sz val="14"/>
        <rFont val="標楷體"/>
        <family val="4"/>
        <charset val="136"/>
      </rPr>
      <t>專業服務費」其中訴訟費及法律諮詢費編列</t>
    </r>
    <r>
      <rPr>
        <sz val="14"/>
        <rFont val="Times New Roman"/>
        <family val="1"/>
      </rPr>
      <t>801</t>
    </r>
    <r>
      <rPr>
        <sz val="14"/>
        <rFont val="標楷體"/>
        <family val="4"/>
        <charset val="136"/>
      </rPr>
      <t>萬元。通傳會編列訴訟費用逐年增加，另近年因行政處分錯誤遭法院廢棄原判決或敗訴，行政處分認定草率，爰訴訟及相關費用全數刪除。</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</si>
  <si>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t>
    </r>
    <r>
      <rPr>
        <b/>
        <sz val="14"/>
        <rFont val="Times New Roman"/>
        <family val="1"/>
      </rPr>
      <t>2</t>
    </r>
    <r>
      <rPr>
        <b/>
        <sz val="14"/>
        <rFont val="標楷體"/>
        <family val="4"/>
        <charset val="136"/>
      </rPr>
      <t>個月內提出書面報告，始得動支」。</t>
    </r>
    <r>
      <rPr>
        <sz val="14"/>
        <rFont val="Times New Roman"/>
        <family val="1"/>
      </rPr>
      <t xml:space="preserve">
</t>
    </r>
    <r>
      <rPr>
        <sz val="14"/>
        <rFont val="標楷體"/>
        <family val="4"/>
        <charset val="136"/>
      </rPr>
      <t>二、目前相關訴訟案件已委任律師並依採購法辦理決標在案，若無訴訟費用支應，將來恐無經費支付契約款項，而有違約情事發生。訴訟費用與打擊詐欺訴訟有關，例如未落實核對用戶資料（未落實</t>
    </r>
    <r>
      <rPr>
        <sz val="14"/>
        <rFont val="Times New Roman"/>
        <family val="1"/>
      </rPr>
      <t>KYC</t>
    </r>
    <r>
      <rPr>
        <sz val="14"/>
        <rFont val="標楷體"/>
        <family val="4"/>
        <charset val="136"/>
      </rPr>
      <t>涉詐）等重大訴訟案件，實有必要編列相關訴訟費用予以支應。
三、本年截至</t>
    </r>
    <r>
      <rPr>
        <sz val="14"/>
        <rFont val="Times New Roman"/>
        <family val="1"/>
      </rPr>
      <t>4</t>
    </r>
    <r>
      <rPr>
        <sz val="14"/>
        <rFont val="標楷體"/>
        <family val="4"/>
        <charset val="136"/>
      </rPr>
      <t>月底執行數</t>
    </r>
    <r>
      <rPr>
        <sz val="14"/>
        <rFont val="Times New Roman"/>
        <family val="1"/>
      </rPr>
      <t>55,048</t>
    </r>
    <r>
      <rPr>
        <sz val="14"/>
        <rFont val="標楷體"/>
        <family val="4"/>
        <charset val="136"/>
      </rPr>
      <t>千元，預估尚須執行</t>
    </r>
    <r>
      <rPr>
        <sz val="14"/>
        <rFont val="Times New Roman"/>
        <family val="1"/>
      </rPr>
      <t>270,252</t>
    </r>
    <r>
      <rPr>
        <sz val="14"/>
        <rFont val="標楷體"/>
        <family val="4"/>
        <charset val="136"/>
      </rPr>
      <t>千元，全年共需</t>
    </r>
    <r>
      <rPr>
        <sz val="14"/>
        <rFont val="Times New Roman"/>
        <family val="1"/>
      </rPr>
      <t>325,300</t>
    </r>
    <r>
      <rPr>
        <sz val="14"/>
        <rFont val="標楷體"/>
        <family val="4"/>
        <charset val="136"/>
      </rPr>
      <t>千元。</t>
    </r>
    <phoneticPr fontId="32" type="noConversion"/>
  </si>
  <si>
    <r>
      <rPr>
        <sz val="14"/>
        <rFont val="標楷體"/>
        <family val="4"/>
        <charset val="136"/>
      </rPr>
      <t>委保</t>
    </r>
    <r>
      <rPr>
        <sz val="14"/>
        <rFont val="Times New Roman"/>
        <family val="1"/>
      </rPr>
      <t>5</t>
    </r>
  </si>
  <si>
    <r>
      <rPr>
        <sz val="14"/>
        <rFont val="標楷體"/>
        <family val="4"/>
        <charset val="136"/>
      </rPr>
      <t>李昆澤</t>
    </r>
  </si>
  <si>
    <r>
      <rPr>
        <sz val="14"/>
        <rFont val="標楷體"/>
        <family val="4"/>
        <charset val="136"/>
      </rPr>
      <t>「服務費用</t>
    </r>
    <r>
      <rPr>
        <sz val="14"/>
        <rFont val="Times New Roman"/>
        <family val="1"/>
      </rPr>
      <t>-</t>
    </r>
    <r>
      <rPr>
        <sz val="14"/>
        <rFont val="標楷體"/>
        <family val="4"/>
        <charset val="136"/>
      </rPr>
      <t>專業服務費」編列</t>
    </r>
    <r>
      <rPr>
        <sz val="14"/>
        <rFont val="Times New Roman"/>
        <family val="1"/>
      </rPr>
      <t>3</t>
    </r>
    <r>
      <rPr>
        <sz val="14"/>
        <rFont val="標楷體"/>
        <family val="4"/>
        <charset val="136"/>
      </rPr>
      <t>億</t>
    </r>
    <r>
      <rPr>
        <sz val="14"/>
        <rFont val="Times New Roman"/>
        <family val="1"/>
      </rPr>
      <t>2,530</t>
    </r>
    <r>
      <rPr>
        <sz val="14"/>
        <rFont val="標楷體"/>
        <family val="4"/>
        <charset val="136"/>
      </rPr>
      <t>萬元，未見對於相關委託研究計畫之內容、目標與預計效益有具體說明。爰應減列</t>
    </r>
    <r>
      <rPr>
        <sz val="14"/>
        <rFont val="Times New Roman"/>
        <family val="1"/>
      </rPr>
      <t>500</t>
    </r>
    <r>
      <rPr>
        <sz val="14"/>
        <rFont val="標楷體"/>
        <family val="4"/>
        <charset val="136"/>
      </rPr>
      <t>萬元，另凍結</t>
    </r>
    <r>
      <rPr>
        <sz val="14"/>
        <rFont val="Times New Roman"/>
        <family val="1"/>
      </rPr>
      <t>10%</t>
    </r>
    <r>
      <rPr>
        <sz val="14"/>
        <rFont val="標楷體"/>
        <family val="4"/>
        <charset val="136"/>
      </rPr>
      <t>，待通傳會於</t>
    </r>
    <r>
      <rPr>
        <sz val="14"/>
        <rFont val="Times New Roman"/>
        <family val="1"/>
      </rPr>
      <t>1</t>
    </r>
    <r>
      <rPr>
        <sz val="14"/>
        <rFont val="標楷體"/>
        <family val="4"/>
        <charset val="136"/>
      </rPr>
      <t>個月內提出報告後，始得動支。</t>
    </r>
    <phoneticPr fontId="32" type="noConversion"/>
  </si>
  <si>
    <r>
      <rPr>
        <b/>
        <sz val="14"/>
        <rFont val="標楷體"/>
        <family val="4"/>
        <charset val="136"/>
      </rPr>
      <t>一、建請免予減列</t>
    </r>
    <r>
      <rPr>
        <b/>
        <sz val="14"/>
        <rFont val="Times New Roman"/>
        <family val="1"/>
      </rPr>
      <t>500</t>
    </r>
    <r>
      <rPr>
        <b/>
        <sz val="14"/>
        <rFont val="標楷體"/>
        <family val="4"/>
        <charset val="136"/>
      </rPr>
      <t>萬元，並修正提案文字為「凍結</t>
    </r>
    <r>
      <rPr>
        <b/>
        <sz val="14"/>
        <rFont val="Times New Roman"/>
        <family val="1"/>
      </rPr>
      <t>10%</t>
    </r>
    <r>
      <rPr>
        <b/>
        <sz val="14"/>
        <rFont val="標楷體"/>
        <family val="4"/>
        <charset val="136"/>
      </rPr>
      <t>，</t>
    </r>
    <r>
      <rPr>
        <b/>
        <sz val="14"/>
        <rFont val="Times New Roman"/>
        <family val="1"/>
      </rPr>
      <t>1</t>
    </r>
    <r>
      <rPr>
        <b/>
        <sz val="14"/>
        <rFont val="標楷體"/>
        <family val="4"/>
        <charset val="136"/>
      </rPr>
      <t>個月內提出書面報告，始得動支」。</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計畫涵蓋技術層、法規面、政策規劃、發展趨勢、執行效益及影響評估面向，就年度選定之計畫，審核各項計畫必要性、急迫性、評估效益及經費執行情形，並逐年適時調修適當之計畫項目與經費運用，落實通訊傳播監理政策、計畫，完善我國通訊傳播產業政策發展。
三、本年截至</t>
    </r>
    <r>
      <rPr>
        <sz val="14"/>
        <rFont val="Times New Roman"/>
        <family val="1"/>
      </rPr>
      <t>4</t>
    </r>
    <r>
      <rPr>
        <sz val="14"/>
        <rFont val="標楷體"/>
        <family val="4"/>
        <charset val="136"/>
      </rPr>
      <t>月底執行數</t>
    </r>
    <r>
      <rPr>
        <sz val="14"/>
        <rFont val="Times New Roman"/>
        <family val="1"/>
      </rPr>
      <t>55,048</t>
    </r>
    <r>
      <rPr>
        <sz val="14"/>
        <rFont val="標楷體"/>
        <family val="4"/>
        <charset val="136"/>
      </rPr>
      <t>千元，預估尚須執行</t>
    </r>
    <r>
      <rPr>
        <sz val="14"/>
        <rFont val="Times New Roman"/>
        <family val="1"/>
      </rPr>
      <t>270,252</t>
    </r>
    <r>
      <rPr>
        <sz val="14"/>
        <rFont val="標楷體"/>
        <family val="4"/>
        <charset val="136"/>
      </rPr>
      <t>千元，全年共需</t>
    </r>
    <r>
      <rPr>
        <sz val="14"/>
        <rFont val="Times New Roman"/>
        <family val="1"/>
      </rPr>
      <t>325,300</t>
    </r>
    <r>
      <rPr>
        <sz val="14"/>
        <rFont val="標楷體"/>
        <family val="4"/>
        <charset val="136"/>
      </rPr>
      <t>千元。</t>
    </r>
    <phoneticPr fontId="32" type="noConversion"/>
  </si>
  <si>
    <r>
      <rPr>
        <sz val="14"/>
        <rFont val="標楷體"/>
        <family val="4"/>
        <charset val="136"/>
      </rPr>
      <t>委保</t>
    </r>
    <r>
      <rPr>
        <sz val="14"/>
        <rFont val="Times New Roman"/>
        <family val="1"/>
      </rPr>
      <t>6</t>
    </r>
  </si>
  <si>
    <r>
      <rPr>
        <sz val="14"/>
        <rFont val="標楷體"/>
        <family val="4"/>
        <charset val="136"/>
      </rPr>
      <t>「服務費用</t>
    </r>
    <r>
      <rPr>
        <sz val="14"/>
        <rFont val="Times New Roman"/>
        <family val="1"/>
      </rPr>
      <t>-</t>
    </r>
    <r>
      <rPr>
        <sz val="14"/>
        <rFont val="標楷體"/>
        <family val="4"/>
        <charset val="136"/>
      </rPr>
      <t>專業服務費</t>
    </r>
    <r>
      <rPr>
        <sz val="14"/>
        <rFont val="Times New Roman"/>
        <family val="1"/>
      </rPr>
      <t>-</t>
    </r>
    <r>
      <rPr>
        <sz val="14"/>
        <rFont val="標楷體"/>
        <family val="4"/>
        <charset val="136"/>
      </rPr>
      <t>訴訟費及法律諮詢費」編列</t>
    </r>
    <r>
      <rPr>
        <sz val="14"/>
        <rFont val="Times New Roman"/>
        <family val="1"/>
      </rPr>
      <t>801</t>
    </r>
    <r>
      <rPr>
        <sz val="14"/>
        <rFont val="標楷體"/>
        <family val="4"/>
        <charset val="136"/>
      </rPr>
      <t>萬元，近年通傳會針對特定電視台之行政訴訟敗訴率高於其他行政機關，行政裁處之品質實有精進空間，爰減列</t>
    </r>
    <r>
      <rPr>
        <sz val="14"/>
        <rFont val="Times New Roman"/>
        <family val="1"/>
      </rPr>
      <t>50%</t>
    </r>
    <r>
      <rPr>
        <sz val="14"/>
        <rFont val="標楷體"/>
        <family val="4"/>
        <charset val="136"/>
      </rPr>
      <t>，用以維護獨立機關之尊嚴。</t>
    </r>
  </si>
  <si>
    <r>
      <rPr>
        <b/>
        <sz val="14"/>
        <rFont val="標楷體"/>
        <family val="4"/>
        <charset val="136"/>
      </rPr>
      <t>一、建請免予減列，並修正提案文字為「凍結</t>
    </r>
    <r>
      <rPr>
        <b/>
        <sz val="14"/>
        <rFont val="Times New Roman"/>
        <family val="1"/>
      </rPr>
      <t>10%</t>
    </r>
    <r>
      <rPr>
        <b/>
        <sz val="14"/>
        <rFont val="標楷體"/>
        <family val="4"/>
        <charset val="136"/>
      </rPr>
      <t>，</t>
    </r>
    <r>
      <rPr>
        <b/>
        <sz val="14"/>
        <rFont val="Times New Roman"/>
        <family val="1"/>
      </rPr>
      <t>2</t>
    </r>
    <r>
      <rPr>
        <b/>
        <sz val="14"/>
        <rFont val="標楷體"/>
        <family val="4"/>
        <charset val="136"/>
      </rPr>
      <t>個月內提出書面報告，始得動支」。</t>
    </r>
    <r>
      <rPr>
        <sz val="14"/>
        <rFont val="Times New Roman"/>
        <family val="1"/>
      </rPr>
      <t xml:space="preserve">
</t>
    </r>
    <r>
      <rPr>
        <sz val="14"/>
        <rFont val="標楷體"/>
        <family val="4"/>
        <charset val="136"/>
      </rPr>
      <t>二、目前相關訴訟案件已委任律師並依採購法辦理決標在案，若無訴訟費用支應，將來恐無經費支付契約款項，而有違約情事發生。訴訟費用與打擊詐欺訴訟有關，例如未落實核對用戶資料（未落實</t>
    </r>
    <r>
      <rPr>
        <sz val="14"/>
        <rFont val="Times New Roman"/>
        <family val="1"/>
      </rPr>
      <t>KYC</t>
    </r>
    <r>
      <rPr>
        <sz val="14"/>
        <rFont val="標楷體"/>
        <family val="4"/>
        <charset val="136"/>
      </rPr>
      <t>涉詐）等重大訴訟案件，實有必要編列相關訴訟費用予以支應。
三、本年截至</t>
    </r>
    <r>
      <rPr>
        <sz val="14"/>
        <rFont val="Times New Roman"/>
        <family val="1"/>
      </rPr>
      <t>4</t>
    </r>
    <r>
      <rPr>
        <sz val="14"/>
        <rFont val="標楷體"/>
        <family val="4"/>
        <charset val="136"/>
      </rPr>
      <t>月底執行數</t>
    </r>
    <r>
      <rPr>
        <sz val="14"/>
        <rFont val="Times New Roman"/>
        <family val="1"/>
      </rPr>
      <t>1,271</t>
    </r>
    <r>
      <rPr>
        <sz val="14"/>
        <rFont val="標楷體"/>
        <family val="4"/>
        <charset val="136"/>
      </rPr>
      <t>千元，預估尚須執行</t>
    </r>
    <r>
      <rPr>
        <sz val="14"/>
        <rFont val="Times New Roman"/>
        <family val="1"/>
      </rPr>
      <t>6,739</t>
    </r>
    <r>
      <rPr>
        <sz val="14"/>
        <rFont val="標楷體"/>
        <family val="4"/>
        <charset val="136"/>
      </rPr>
      <t>千元，全年共需</t>
    </r>
    <r>
      <rPr>
        <sz val="14"/>
        <rFont val="Times New Roman"/>
        <family val="1"/>
      </rPr>
      <t>8,010</t>
    </r>
    <r>
      <rPr>
        <sz val="14"/>
        <rFont val="標楷體"/>
        <family val="4"/>
        <charset val="136"/>
      </rPr>
      <t>千元。</t>
    </r>
    <phoneticPr fontId="32" type="noConversion"/>
  </si>
  <si>
    <r>
      <rPr>
        <sz val="14"/>
        <rFont val="標楷體"/>
        <family val="4"/>
        <charset val="136"/>
      </rPr>
      <t>委保</t>
    </r>
    <r>
      <rPr>
        <sz val="14"/>
        <rFont val="Times New Roman"/>
        <family val="1"/>
      </rPr>
      <t>7</t>
    </r>
  </si>
  <si>
    <r>
      <rPr>
        <sz val="14"/>
        <rFont val="標楷體"/>
        <family val="4"/>
        <charset val="136"/>
      </rPr>
      <t>陳雪生</t>
    </r>
    <phoneticPr fontId="32" type="noConversion"/>
  </si>
  <si>
    <r>
      <rPr>
        <sz val="14"/>
        <rFont val="標楷體"/>
        <family val="4"/>
        <charset val="136"/>
      </rPr>
      <t>「服務費用</t>
    </r>
    <r>
      <rPr>
        <sz val="14"/>
        <rFont val="Times New Roman"/>
        <family val="1"/>
      </rPr>
      <t>-</t>
    </r>
    <r>
      <rPr>
        <sz val="14"/>
        <rFont val="標楷體"/>
        <family val="4"/>
        <charset val="136"/>
      </rPr>
      <t>專業服務費</t>
    </r>
    <r>
      <rPr>
        <sz val="14"/>
        <rFont val="Times New Roman"/>
        <family val="1"/>
      </rPr>
      <t>-</t>
    </r>
    <r>
      <rPr>
        <sz val="14"/>
        <rFont val="標楷體"/>
        <family val="4"/>
        <charset val="136"/>
      </rPr>
      <t>訴訟費及法律諮詢費」編列</t>
    </r>
    <r>
      <rPr>
        <sz val="14"/>
        <rFont val="Times New Roman"/>
        <family val="1"/>
      </rPr>
      <t>801</t>
    </r>
    <r>
      <rPr>
        <sz val="14"/>
        <rFont val="標楷體"/>
        <family val="4"/>
        <charset val="136"/>
      </rPr>
      <t>萬元，通傳會應檢討如何降低業者不服裁罰之情形，確保裁罰決策具充分法律依據和正當性，爰減列</t>
    </r>
    <r>
      <rPr>
        <sz val="14"/>
        <rFont val="Times New Roman"/>
        <family val="1"/>
      </rPr>
      <t>750</t>
    </r>
    <r>
      <rPr>
        <sz val="14"/>
        <rFont val="標楷體"/>
        <family val="4"/>
        <charset val="136"/>
      </rPr>
      <t>萬元。</t>
    </r>
    <phoneticPr fontId="32" type="noConversion"/>
  </si>
  <si>
    <r>
      <rPr>
        <sz val="14"/>
        <rFont val="標楷體"/>
        <family val="4"/>
        <charset val="136"/>
      </rPr>
      <t>委保</t>
    </r>
    <r>
      <rPr>
        <sz val="14"/>
        <rFont val="Times New Roman"/>
        <family val="1"/>
      </rPr>
      <t>8</t>
    </r>
  </si>
  <si>
    <r>
      <rPr>
        <sz val="14"/>
        <rFont val="標楷體"/>
        <family val="4"/>
        <charset val="136"/>
      </rPr>
      <t>「服務費用</t>
    </r>
    <r>
      <rPr>
        <sz val="14"/>
        <rFont val="Times New Roman"/>
        <family val="1"/>
      </rPr>
      <t>-</t>
    </r>
    <r>
      <rPr>
        <sz val="14"/>
        <rFont val="標楷體"/>
        <family val="4"/>
        <charset val="136"/>
      </rPr>
      <t>媒體政策及業務宣導費」編列</t>
    </r>
    <r>
      <rPr>
        <sz val="14"/>
        <rFont val="Times New Roman"/>
        <family val="1"/>
      </rPr>
      <t>322</t>
    </r>
    <r>
      <rPr>
        <sz val="14"/>
        <rFont val="標楷體"/>
        <family val="4"/>
        <charset val="136"/>
      </rPr>
      <t>萬元，基地台建設抗爭已剩零星個案，</t>
    </r>
    <r>
      <rPr>
        <sz val="14"/>
        <rFont val="Times New Roman"/>
        <family val="1"/>
      </rPr>
      <t>112</t>
    </r>
    <r>
      <rPr>
        <sz val="14"/>
        <rFont val="標楷體"/>
        <family val="4"/>
        <charset val="136"/>
      </rPr>
      <t>緊急救難電話與災防警告系統已推行多年，爰減列</t>
    </r>
    <r>
      <rPr>
        <sz val="14"/>
        <rFont val="Times New Roman"/>
        <family val="1"/>
      </rPr>
      <t>252</t>
    </r>
    <r>
      <rPr>
        <sz val="14"/>
        <rFont val="標楷體"/>
        <family val="4"/>
        <charset val="136"/>
      </rPr>
      <t>萬元。</t>
    </r>
  </si>
  <si>
    <r>
      <rPr>
        <b/>
        <sz val="14"/>
        <rFont val="標楷體"/>
        <family val="4"/>
        <charset val="136"/>
      </rPr>
      <t>一、建請第</t>
    </r>
    <r>
      <rPr>
        <b/>
        <sz val="14"/>
        <rFont val="Times New Roman"/>
        <family val="1"/>
      </rPr>
      <t>8</t>
    </r>
    <r>
      <rPr>
        <b/>
        <sz val="14"/>
        <rFont val="標楷體"/>
        <family val="4"/>
        <charset val="136"/>
      </rPr>
      <t>、</t>
    </r>
    <r>
      <rPr>
        <b/>
        <sz val="14"/>
        <rFont val="Times New Roman"/>
        <family val="1"/>
      </rPr>
      <t>74</t>
    </r>
    <r>
      <rPr>
        <b/>
        <sz val="14"/>
        <rFont val="標楷體"/>
        <family val="4"/>
        <charset val="136"/>
      </rPr>
      <t>及</t>
    </r>
    <r>
      <rPr>
        <b/>
        <sz val="14"/>
        <rFont val="Times New Roman"/>
        <family val="1"/>
      </rPr>
      <t>75</t>
    </r>
    <r>
      <rPr>
        <b/>
        <sz val="14"/>
        <rFont val="標楷體"/>
        <family val="4"/>
        <charset val="136"/>
      </rPr>
      <t>案併案處理，免予減列，並修正提案文字為「</t>
    </r>
    <r>
      <rPr>
        <b/>
        <sz val="14"/>
        <rFont val="Times New Roman"/>
        <family val="1"/>
      </rPr>
      <t>……</t>
    </r>
    <r>
      <rPr>
        <b/>
        <sz val="14"/>
        <rFont val="標楷體"/>
        <family val="4"/>
        <charset val="136"/>
      </rPr>
      <t>請國家通訊傳播委員會於三個月內向立法院交通委員會提出書面報告」。</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年度地區監理計畫</t>
    </r>
    <r>
      <rPr>
        <sz val="14"/>
        <rFont val="Times New Roman"/>
        <family val="1"/>
      </rPr>
      <t>-</t>
    </r>
    <r>
      <rPr>
        <sz val="14"/>
        <rFont val="標楷體"/>
        <family val="4"/>
        <charset val="136"/>
      </rPr>
      <t>媒體政策及業務宣導費，分別輪流採用網路媒體及廣播媒體等方式宣導，俾向民眾強化「電磁波安全知識」、「</t>
    </r>
    <r>
      <rPr>
        <sz val="14"/>
        <rFont val="Times New Roman"/>
        <family val="1"/>
      </rPr>
      <t>112</t>
    </r>
    <r>
      <rPr>
        <sz val="14"/>
        <rFont val="標楷體"/>
        <family val="4"/>
        <charset val="136"/>
      </rPr>
      <t>緊急救難電話」、「災防告警系統之細胞廣播服務」及「電信管制射頻器材法遵</t>
    </r>
    <r>
      <rPr>
        <sz val="14"/>
        <rFont val="Times New Roman"/>
        <family val="1"/>
      </rPr>
      <t>(</t>
    </r>
    <r>
      <rPr>
        <sz val="14"/>
        <rFont val="標楷體"/>
        <family val="4"/>
        <charset val="136"/>
      </rPr>
      <t>無人機、藍牙等使用</t>
    </r>
    <r>
      <rPr>
        <sz val="14"/>
        <rFont val="Times New Roman"/>
        <family val="1"/>
      </rPr>
      <t>)</t>
    </r>
    <r>
      <rPr>
        <sz val="14"/>
        <rFont val="標楷體"/>
        <family val="4"/>
        <charset val="136"/>
      </rPr>
      <t>」等知識，爰仍需持續加強宣導。</t>
    </r>
    <r>
      <rPr>
        <sz val="14"/>
        <rFont val="Times New Roman"/>
        <family val="1"/>
      </rPr>
      <t xml:space="preserve">                                                                     </t>
    </r>
    <r>
      <rPr>
        <sz val="14"/>
        <rFont val="標楷體"/>
        <family val="4"/>
        <charset val="136"/>
      </rPr>
      <t>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2,520</t>
    </r>
    <r>
      <rPr>
        <sz val="14"/>
        <rFont val="標楷體"/>
        <family val="4"/>
        <charset val="136"/>
      </rPr>
      <t>千元，全年共</t>
    </r>
    <r>
      <rPr>
        <sz val="14"/>
        <rFont val="Times New Roman"/>
        <family val="1"/>
      </rPr>
      <t>2,520</t>
    </r>
    <r>
      <rPr>
        <sz val="14"/>
        <rFont val="標楷體"/>
        <family val="4"/>
        <charset val="136"/>
      </rPr>
      <t>千元。</t>
    </r>
    <phoneticPr fontId="32" type="noConversion"/>
  </si>
  <si>
    <r>
      <rPr>
        <sz val="14"/>
        <rFont val="標楷體"/>
        <family val="4"/>
        <charset val="136"/>
      </rPr>
      <t>委保</t>
    </r>
    <r>
      <rPr>
        <sz val="14"/>
        <rFont val="Times New Roman"/>
        <family val="1"/>
      </rPr>
      <t>9</t>
    </r>
  </si>
  <si>
    <r>
      <rPr>
        <sz val="14"/>
        <rFont val="標楷體"/>
        <family val="4"/>
        <charset val="136"/>
      </rPr>
      <t>「服務費用</t>
    </r>
    <r>
      <rPr>
        <sz val="14"/>
        <rFont val="Times New Roman"/>
        <family val="1"/>
      </rPr>
      <t>-</t>
    </r>
    <r>
      <rPr>
        <sz val="14"/>
        <rFont val="標楷體"/>
        <family val="4"/>
        <charset val="136"/>
      </rPr>
      <t>推展費」編列</t>
    </r>
    <r>
      <rPr>
        <sz val="14"/>
        <rFont val="Times New Roman"/>
        <family val="1"/>
      </rPr>
      <t>553</t>
    </r>
    <r>
      <rPr>
        <sz val="14"/>
        <rFont val="標楷體"/>
        <family val="4"/>
        <charset val="136"/>
      </rPr>
      <t>萬</t>
    </r>
    <r>
      <rPr>
        <sz val="14"/>
        <rFont val="Times New Roman"/>
        <family val="1"/>
      </rPr>
      <t>3</t>
    </r>
    <r>
      <rPr>
        <sz val="14"/>
        <rFont val="標楷體"/>
        <family val="4"/>
        <charset val="136"/>
      </rPr>
      <t>千元，相關宣導行之有年，效果已經飽和。除委託民間辦理兒童及少年上網安全教育宣導</t>
    </r>
    <r>
      <rPr>
        <sz val="14"/>
        <rFont val="Times New Roman"/>
        <family val="1"/>
      </rPr>
      <t>56</t>
    </r>
    <r>
      <rPr>
        <sz val="14"/>
        <rFont val="標楷體"/>
        <family val="4"/>
        <charset val="136"/>
      </rPr>
      <t>萬</t>
    </r>
    <r>
      <rPr>
        <sz val="14"/>
        <rFont val="Times New Roman"/>
        <family val="1"/>
      </rPr>
      <t>1</t>
    </r>
    <r>
      <rPr>
        <sz val="14"/>
        <rFont val="標楷體"/>
        <family val="4"/>
        <charset val="136"/>
      </rPr>
      <t>千元及校園宣導網路素養活動及網際網路內容防護機構宣導</t>
    </r>
    <r>
      <rPr>
        <sz val="14"/>
        <rFont val="Times New Roman"/>
        <family val="1"/>
      </rPr>
      <t>30</t>
    </r>
    <r>
      <rPr>
        <sz val="14"/>
        <rFont val="標楷體"/>
        <family val="4"/>
        <charset val="136"/>
      </rPr>
      <t>萬元外，其餘全數刪除。</t>
    </r>
    <phoneticPr fontId="32" type="noConversion"/>
  </si>
  <si>
    <r>
      <rPr>
        <b/>
        <sz val="14"/>
        <rFont val="標楷體"/>
        <family val="4"/>
        <charset val="136"/>
      </rPr>
      <t>一、建請第</t>
    </r>
    <r>
      <rPr>
        <b/>
        <sz val="14"/>
        <rFont val="Times New Roman"/>
        <family val="1"/>
      </rPr>
      <t>9</t>
    </r>
    <r>
      <rPr>
        <b/>
        <sz val="14"/>
        <rFont val="標楷體"/>
        <family val="4"/>
        <charset val="136"/>
      </rPr>
      <t>、</t>
    </r>
    <r>
      <rPr>
        <b/>
        <sz val="14"/>
        <rFont val="Times New Roman"/>
        <family val="1"/>
      </rPr>
      <t>10</t>
    </r>
    <r>
      <rPr>
        <b/>
        <sz val="14"/>
        <rFont val="標楷體"/>
        <family val="4"/>
        <charset val="136"/>
      </rPr>
      <t>及</t>
    </r>
    <r>
      <rPr>
        <b/>
        <sz val="14"/>
        <rFont val="Times New Roman"/>
        <family val="1"/>
      </rPr>
      <t>11</t>
    </r>
    <r>
      <rPr>
        <b/>
        <sz val="14"/>
        <rFont val="標楷體"/>
        <family val="4"/>
        <charset val="136"/>
      </rPr>
      <t>併案處理，免予減列，並修正提案文字為「請通傳會於一個月內向本院交通委員會提出書面報告」。</t>
    </r>
    <r>
      <rPr>
        <sz val="14"/>
        <rFont val="Times New Roman"/>
        <family val="1"/>
      </rPr>
      <t xml:space="preserve">
</t>
    </r>
    <r>
      <rPr>
        <sz val="14"/>
        <rFont val="標楷體"/>
        <family val="4"/>
        <charset val="136"/>
      </rPr>
      <t>二、除辦理兒少網安教育宣導、強化民眾網路素養，依立院審查</t>
    </r>
    <r>
      <rPr>
        <sz val="14"/>
        <rFont val="Times New Roman"/>
        <family val="1"/>
      </rPr>
      <t>107</t>
    </r>
    <r>
      <rPr>
        <sz val="14"/>
        <rFont val="標楷體"/>
        <family val="4"/>
        <charset val="136"/>
      </rPr>
      <t>年附屬單位預算等審查總報告決議，應辦理「廣電媒體專業素養培訓與公民培力推廣計畫」；依</t>
    </r>
    <r>
      <rPr>
        <sz val="14"/>
        <rFont val="Times New Roman"/>
        <family val="1"/>
      </rPr>
      <t>113</t>
    </r>
    <r>
      <rPr>
        <sz val="14"/>
        <rFont val="標楷體"/>
        <family val="4"/>
        <charset val="136"/>
      </rPr>
      <t xml:space="preserve">年立院審議總預算交委會審查決議，要求通傳會就電商業者販售商品，依規標明資訊並納入政令宣導；配合政院消保處辦理宣導活動須分擔經費，故爰持續辦理。
</t>
    </r>
    <r>
      <rPr>
        <sz val="14"/>
        <rFont val="Times New Roman"/>
        <family val="1"/>
      </rPr>
      <t xml:space="preserve"> </t>
    </r>
    <r>
      <rPr>
        <sz val="14"/>
        <rFont val="標楷體"/>
        <family val="4"/>
        <charset val="136"/>
      </rPr>
      <t>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5,533</t>
    </r>
    <r>
      <rPr>
        <sz val="14"/>
        <rFont val="標楷體"/>
        <family val="4"/>
        <charset val="136"/>
      </rPr>
      <t>千元，全年共需</t>
    </r>
    <r>
      <rPr>
        <sz val="14"/>
        <rFont val="Times New Roman"/>
        <family val="1"/>
      </rPr>
      <t>5,533</t>
    </r>
    <r>
      <rPr>
        <sz val="14"/>
        <rFont val="標楷體"/>
        <family val="4"/>
        <charset val="136"/>
      </rPr>
      <t>千元。</t>
    </r>
    <phoneticPr fontId="32" type="noConversion"/>
  </si>
  <si>
    <r>
      <rPr>
        <sz val="14"/>
        <rFont val="標楷體"/>
        <family val="4"/>
        <charset val="136"/>
      </rPr>
      <t>委保</t>
    </r>
    <r>
      <rPr>
        <sz val="14"/>
        <rFont val="Times New Roman"/>
        <family val="1"/>
      </rPr>
      <t>10</t>
    </r>
  </si>
  <si>
    <r>
      <rPr>
        <sz val="14"/>
        <rFont val="標楷體"/>
        <family val="4"/>
        <charset val="136"/>
      </rPr>
      <t>「服務費用</t>
    </r>
    <r>
      <rPr>
        <sz val="14"/>
        <rFont val="Times New Roman"/>
        <family val="1"/>
      </rPr>
      <t>-</t>
    </r>
    <r>
      <rPr>
        <sz val="14"/>
        <rFont val="標楷體"/>
        <family val="4"/>
        <charset val="136"/>
      </rPr>
      <t>推展費」編列</t>
    </r>
    <r>
      <rPr>
        <sz val="14"/>
        <rFont val="Times New Roman"/>
        <family val="1"/>
      </rPr>
      <t>553</t>
    </r>
    <r>
      <rPr>
        <sz val="14"/>
        <rFont val="標楷體"/>
        <family val="4"/>
        <charset val="136"/>
      </rPr>
      <t>萬</t>
    </r>
    <r>
      <rPr>
        <sz val="14"/>
        <rFont val="Times New Roman"/>
        <family val="1"/>
      </rPr>
      <t>3</t>
    </r>
    <r>
      <rPr>
        <sz val="14"/>
        <rFont val="標楷體"/>
        <family val="4"/>
        <charset val="136"/>
      </rPr>
      <t>千元，為撙節政府開支，爰刪除</t>
    </r>
    <r>
      <rPr>
        <sz val="14"/>
        <rFont val="Times New Roman"/>
        <family val="1"/>
      </rPr>
      <t>150</t>
    </r>
    <r>
      <rPr>
        <sz val="14"/>
        <rFont val="標楷體"/>
        <family val="4"/>
        <charset val="136"/>
      </rPr>
      <t>萬元並凍結</t>
    </r>
    <r>
      <rPr>
        <sz val="14"/>
        <rFont val="Times New Roman"/>
        <family val="1"/>
      </rPr>
      <t>20%</t>
    </r>
    <r>
      <rPr>
        <sz val="14"/>
        <rFont val="標楷體"/>
        <family val="4"/>
        <charset val="136"/>
      </rPr>
      <t>，待通傳會說明經費增列之由及其必要性，向交通委員會提出專案報告，經同意後，始得動支。</t>
    </r>
    <phoneticPr fontId="32" type="noConversion"/>
  </si>
  <si>
    <r>
      <rPr>
        <b/>
        <sz val="14"/>
        <rFont val="標楷體"/>
        <family val="4"/>
        <charset val="136"/>
      </rPr>
      <t>一、建請第</t>
    </r>
    <r>
      <rPr>
        <b/>
        <sz val="14"/>
        <rFont val="Times New Roman"/>
        <family val="1"/>
      </rPr>
      <t>9</t>
    </r>
    <r>
      <rPr>
        <b/>
        <sz val="14"/>
        <rFont val="標楷體"/>
        <family val="4"/>
        <charset val="136"/>
      </rPr>
      <t>、</t>
    </r>
    <r>
      <rPr>
        <b/>
        <sz val="14"/>
        <rFont val="Times New Roman"/>
        <family val="1"/>
      </rPr>
      <t>10</t>
    </r>
    <r>
      <rPr>
        <b/>
        <sz val="14"/>
        <rFont val="標楷體"/>
        <family val="4"/>
        <charset val="136"/>
      </rPr>
      <t>及</t>
    </r>
    <r>
      <rPr>
        <b/>
        <sz val="14"/>
        <rFont val="Times New Roman"/>
        <family val="1"/>
      </rPr>
      <t>11</t>
    </r>
    <r>
      <rPr>
        <b/>
        <sz val="14"/>
        <rFont val="標楷體"/>
        <family val="4"/>
        <charset val="136"/>
      </rPr>
      <t>併案處理，免予減列及凍結，並修正文字為「請通傳會於一個月內向本院交通委員會提出書面報告」。</t>
    </r>
    <r>
      <rPr>
        <sz val="14"/>
        <rFont val="Times New Roman"/>
        <family val="1"/>
      </rPr>
      <t xml:space="preserve">
</t>
    </r>
    <r>
      <rPr>
        <sz val="14"/>
        <rFont val="標楷體"/>
        <family val="4"/>
        <charset val="136"/>
      </rPr>
      <t>二、同第</t>
    </r>
    <r>
      <rPr>
        <sz val="14"/>
        <rFont val="Times New Roman"/>
        <family val="1"/>
      </rPr>
      <t>9</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5,533</t>
    </r>
    <r>
      <rPr>
        <sz val="14"/>
        <rFont val="標楷體"/>
        <family val="4"/>
        <charset val="136"/>
      </rPr>
      <t>千元，全年共需</t>
    </r>
    <r>
      <rPr>
        <sz val="14"/>
        <rFont val="Times New Roman"/>
        <family val="1"/>
      </rPr>
      <t>5,533</t>
    </r>
    <r>
      <rPr>
        <sz val="14"/>
        <rFont val="標楷體"/>
        <family val="4"/>
        <charset val="136"/>
      </rPr>
      <t>千元。</t>
    </r>
    <phoneticPr fontId="32" type="noConversion"/>
  </si>
  <si>
    <r>
      <rPr>
        <sz val="14"/>
        <rFont val="標楷體"/>
        <family val="4"/>
        <charset val="136"/>
      </rPr>
      <t>委保</t>
    </r>
    <r>
      <rPr>
        <sz val="14"/>
        <rFont val="Times New Roman"/>
        <family val="1"/>
      </rPr>
      <t>11</t>
    </r>
  </si>
  <si>
    <r>
      <rPr>
        <sz val="14"/>
        <rFont val="標楷體"/>
        <family val="4"/>
        <charset val="136"/>
      </rPr>
      <t>「服務費用</t>
    </r>
    <r>
      <rPr>
        <sz val="14"/>
        <rFont val="Times New Roman"/>
        <family val="1"/>
      </rPr>
      <t>-</t>
    </r>
    <r>
      <rPr>
        <sz val="14"/>
        <rFont val="標楷體"/>
        <family val="4"/>
        <charset val="136"/>
      </rPr>
      <t>推展費」編列</t>
    </r>
    <r>
      <rPr>
        <sz val="14"/>
        <rFont val="Times New Roman"/>
        <family val="1"/>
      </rPr>
      <t>553</t>
    </r>
    <r>
      <rPr>
        <sz val="14"/>
        <rFont val="標楷體"/>
        <family val="4"/>
        <charset val="136"/>
      </rPr>
      <t>萬</t>
    </r>
    <r>
      <rPr>
        <sz val="14"/>
        <rFont val="Times New Roman"/>
        <family val="1"/>
      </rPr>
      <t>3</t>
    </r>
    <r>
      <rPr>
        <sz val="14"/>
        <rFont val="標楷體"/>
        <family val="4"/>
        <charset val="136"/>
      </rPr>
      <t>千元，考量通傳會業務無明顯增加，推展費應就增列部分詳加說明，爰刪除</t>
    </r>
    <r>
      <rPr>
        <sz val="14"/>
        <rFont val="Times New Roman"/>
        <family val="1"/>
      </rPr>
      <t>50</t>
    </r>
    <r>
      <rPr>
        <sz val="14"/>
        <rFont val="標楷體"/>
        <family val="4"/>
        <charset val="136"/>
      </rPr>
      <t>萬元另凍結</t>
    </r>
    <r>
      <rPr>
        <sz val="14"/>
        <rFont val="Times New Roman"/>
        <family val="1"/>
      </rPr>
      <t>10%</t>
    </r>
    <r>
      <rPr>
        <sz val="14"/>
        <rFont val="標楷體"/>
        <family val="4"/>
        <charset val="136"/>
      </rPr>
      <t>，待通傳會於</t>
    </r>
    <r>
      <rPr>
        <sz val="14"/>
        <rFont val="Times New Roman"/>
        <family val="1"/>
      </rPr>
      <t>1</t>
    </r>
    <r>
      <rPr>
        <sz val="14"/>
        <rFont val="標楷體"/>
        <family val="4"/>
        <charset val="136"/>
      </rPr>
      <t>個月內提出報告後，始得動支。</t>
    </r>
    <phoneticPr fontId="32" type="noConversion"/>
  </si>
  <si>
    <r>
      <rPr>
        <b/>
        <sz val="14"/>
        <rFont val="標楷體"/>
        <family val="4"/>
        <charset val="136"/>
      </rPr>
      <t>一、建請第</t>
    </r>
    <r>
      <rPr>
        <b/>
        <sz val="14"/>
        <rFont val="Times New Roman"/>
        <family val="1"/>
      </rPr>
      <t>9</t>
    </r>
    <r>
      <rPr>
        <b/>
        <sz val="14"/>
        <rFont val="標楷體"/>
        <family val="4"/>
        <charset val="136"/>
      </rPr>
      <t>、</t>
    </r>
    <r>
      <rPr>
        <b/>
        <sz val="14"/>
        <rFont val="Times New Roman"/>
        <family val="1"/>
      </rPr>
      <t>10</t>
    </r>
    <r>
      <rPr>
        <b/>
        <sz val="14"/>
        <rFont val="標楷體"/>
        <family val="4"/>
        <charset val="136"/>
      </rPr>
      <t>及</t>
    </r>
    <r>
      <rPr>
        <b/>
        <sz val="14"/>
        <rFont val="Times New Roman"/>
        <family val="1"/>
      </rPr>
      <t>11</t>
    </r>
    <r>
      <rPr>
        <b/>
        <sz val="14"/>
        <rFont val="標楷體"/>
        <family val="4"/>
        <charset val="136"/>
      </rPr>
      <t xml:space="preserve">併案處理，免予減列及凍結，並修正文字為「請通傳會於一個月內向本院交通委員會提出書面報告」。
</t>
    </r>
    <r>
      <rPr>
        <sz val="14"/>
        <rFont val="標楷體"/>
        <family val="4"/>
        <charset val="136"/>
      </rPr>
      <t>二、同第</t>
    </r>
    <r>
      <rPr>
        <sz val="14"/>
        <rFont val="Times New Roman"/>
        <family val="1"/>
      </rPr>
      <t>9</t>
    </r>
    <r>
      <rPr>
        <sz val="14"/>
        <rFont val="標楷體"/>
        <family val="4"/>
        <charset val="136"/>
      </rPr>
      <t>案說明。</t>
    </r>
    <r>
      <rPr>
        <b/>
        <sz val="14"/>
        <rFont val="Times New Roman"/>
        <family val="1"/>
      </rPr>
      <t xml:space="preserve">
</t>
    </r>
    <r>
      <rPr>
        <b/>
        <sz val="14"/>
        <rFont val="標楷體"/>
        <family val="4"/>
        <charset val="136"/>
      </rPr>
      <t>三、</t>
    </r>
    <r>
      <rPr>
        <sz val="14"/>
        <rFont val="標楷體"/>
        <family val="4"/>
        <charset val="136"/>
      </rPr>
      <t>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5,533</t>
    </r>
    <r>
      <rPr>
        <sz val="14"/>
        <rFont val="標楷體"/>
        <family val="4"/>
        <charset val="136"/>
      </rPr>
      <t>千元，全年共需</t>
    </r>
    <r>
      <rPr>
        <sz val="14"/>
        <rFont val="Times New Roman"/>
        <family val="1"/>
      </rPr>
      <t>5,533</t>
    </r>
    <r>
      <rPr>
        <sz val="14"/>
        <rFont val="標楷體"/>
        <family val="4"/>
        <charset val="136"/>
      </rPr>
      <t>千元。</t>
    </r>
    <phoneticPr fontId="32" type="noConversion"/>
  </si>
  <si>
    <r>
      <rPr>
        <sz val="14"/>
        <rFont val="標楷體"/>
        <family val="4"/>
        <charset val="136"/>
      </rPr>
      <t>委保</t>
    </r>
    <r>
      <rPr>
        <sz val="14"/>
        <rFont val="Times New Roman"/>
        <family val="1"/>
      </rPr>
      <t>12</t>
    </r>
  </si>
  <si>
    <r>
      <rPr>
        <sz val="14"/>
        <rFont val="標楷體"/>
        <family val="4"/>
        <charset val="136"/>
      </rPr>
      <t>「服務費用</t>
    </r>
    <r>
      <rPr>
        <sz val="14"/>
        <rFont val="Times New Roman"/>
        <family val="1"/>
      </rPr>
      <t>-</t>
    </r>
    <r>
      <rPr>
        <sz val="14"/>
        <rFont val="標楷體"/>
        <family val="4"/>
        <charset val="136"/>
      </rPr>
      <t>雜項設備租金」編列</t>
    </r>
    <r>
      <rPr>
        <sz val="14"/>
        <rFont val="Times New Roman"/>
        <family val="1"/>
      </rPr>
      <t>104</t>
    </r>
    <r>
      <rPr>
        <sz val="14"/>
        <rFont val="標楷體"/>
        <family val="4"/>
        <charset val="136"/>
      </rPr>
      <t>萬</t>
    </r>
    <r>
      <rPr>
        <sz val="14"/>
        <rFont val="Times New Roman"/>
        <family val="1"/>
      </rPr>
      <t>6</t>
    </r>
    <r>
      <rPr>
        <sz val="14"/>
        <rFont val="標楷體"/>
        <family val="4"/>
        <charset val="136"/>
      </rPr>
      <t>千元，為撙節政府開支，爰凍結</t>
    </r>
    <r>
      <rPr>
        <sz val="14"/>
        <rFont val="Times New Roman"/>
        <family val="1"/>
      </rPr>
      <t>10%</t>
    </r>
    <r>
      <rPr>
        <sz val="14"/>
        <rFont val="標楷體"/>
        <family val="4"/>
        <charset val="136"/>
      </rPr>
      <t>，待通傳會說明經費增列之由及其必要性，向交通委員會提出書面報告，經同意後，始得動支。</t>
    </r>
    <phoneticPr fontId="32" type="noConversion"/>
  </si>
  <si>
    <r>
      <rPr>
        <b/>
        <sz val="14"/>
        <rFont val="標楷體"/>
        <family val="4"/>
        <charset val="136"/>
      </rPr>
      <t>一、建請修正提案文字為「凍結</t>
    </r>
    <r>
      <rPr>
        <b/>
        <sz val="14"/>
        <rFont val="Times New Roman"/>
        <family val="1"/>
      </rPr>
      <t>10%</t>
    </r>
    <r>
      <rPr>
        <b/>
        <sz val="14"/>
        <rFont val="標楷體"/>
        <family val="4"/>
        <charset val="136"/>
      </rPr>
      <t>，提出書面報告後，始得動支」。</t>
    </r>
    <r>
      <rPr>
        <sz val="14"/>
        <rFont val="Times New Roman"/>
        <family val="1"/>
      </rPr>
      <t xml:space="preserve">
</t>
    </r>
    <r>
      <rPr>
        <sz val="14"/>
        <rFont val="標楷體"/>
        <family val="4"/>
        <charset val="136"/>
      </rPr>
      <t>二、本會以臺灣銀行採購部「租賃影印機」共同供應契約規定辦理採購之影印機租賃費用，以每台影印機張數作為計費。</t>
    </r>
    <r>
      <rPr>
        <sz val="14"/>
        <rFont val="Times New Roman"/>
        <family val="1"/>
      </rPr>
      <t>113</t>
    </r>
    <r>
      <rPr>
        <sz val="14"/>
        <rFont val="標楷體"/>
        <family val="4"/>
        <charset val="136"/>
      </rPr>
      <t>年僅部分使用單位編列</t>
    </r>
    <r>
      <rPr>
        <sz val="14"/>
        <rFont val="Times New Roman"/>
        <family val="1"/>
      </rPr>
      <t>649</t>
    </r>
    <r>
      <rPr>
        <sz val="14"/>
        <rFont val="標楷體"/>
        <family val="4"/>
        <charset val="136"/>
      </rPr>
      <t>千元，為符實際執行需求，</t>
    </r>
    <r>
      <rPr>
        <sz val="14"/>
        <rFont val="Times New Roman"/>
        <family val="1"/>
      </rPr>
      <t>114</t>
    </r>
    <r>
      <rPr>
        <sz val="14"/>
        <rFont val="標楷體"/>
        <family val="4"/>
        <charset val="136"/>
      </rPr>
      <t>年由各使用單位編列預算，此外，</t>
    </r>
    <r>
      <rPr>
        <sz val="14"/>
        <rFont val="Times New Roman"/>
        <family val="1"/>
      </rPr>
      <t>114</t>
    </r>
    <r>
      <rPr>
        <sz val="14"/>
        <rFont val="標楷體"/>
        <family val="4"/>
        <charset val="136"/>
      </rPr>
      <t>年證照費及審查費歲入較</t>
    </r>
    <r>
      <rPr>
        <sz val="14"/>
        <rFont val="Times New Roman"/>
        <family val="1"/>
      </rPr>
      <t>113</t>
    </r>
    <r>
      <rPr>
        <sz val="14"/>
        <rFont val="標楷體"/>
        <family val="4"/>
        <charset val="136"/>
      </rPr>
      <t>年增加，換照、審查等業務多以影印機輸出執照或相關文件，所需影印張數隨之增加。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1,046</t>
    </r>
    <r>
      <rPr>
        <sz val="14"/>
        <rFont val="標楷體"/>
        <family val="4"/>
        <charset val="136"/>
      </rPr>
      <t>千元，全年共需</t>
    </r>
    <r>
      <rPr>
        <sz val="14"/>
        <rFont val="Times New Roman"/>
        <family val="1"/>
      </rPr>
      <t>1,046</t>
    </r>
    <r>
      <rPr>
        <sz val="14"/>
        <rFont val="標楷體"/>
        <family val="4"/>
        <charset val="136"/>
      </rPr>
      <t>千元。</t>
    </r>
    <phoneticPr fontId="32" type="noConversion"/>
  </si>
  <si>
    <r>
      <rPr>
        <sz val="14"/>
        <rFont val="標楷體"/>
        <family val="4"/>
        <charset val="136"/>
      </rPr>
      <t>委保</t>
    </r>
    <r>
      <rPr>
        <sz val="14"/>
        <rFont val="Times New Roman"/>
        <family val="1"/>
      </rPr>
      <t>13</t>
    </r>
  </si>
  <si>
    <r>
      <rPr>
        <sz val="14"/>
        <rFont val="標楷體"/>
        <family val="4"/>
        <charset val="136"/>
      </rPr>
      <t>林沛祥</t>
    </r>
  </si>
  <si>
    <r>
      <rPr>
        <sz val="14"/>
        <rFont val="標楷體"/>
        <family val="4"/>
        <charset val="136"/>
      </rPr>
      <t>「通訊傳播監理政策企劃計畫」編列</t>
    </r>
    <r>
      <rPr>
        <sz val="14"/>
        <rFont val="Times New Roman"/>
        <family val="1"/>
      </rPr>
      <t>2,866</t>
    </r>
    <r>
      <rPr>
        <sz val="14"/>
        <rFont val="標楷體"/>
        <family val="4"/>
        <charset val="136"/>
      </rPr>
      <t>萬元，應審視國外旅費必要性或尋找替代性，爰減列</t>
    </r>
    <r>
      <rPr>
        <sz val="14"/>
        <rFont val="Times New Roman"/>
        <family val="1"/>
      </rPr>
      <t>300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個月內提出專案報告，並經交通委員會同意後始得動支。</t>
    </r>
    <phoneticPr fontId="32" type="noConversion"/>
  </si>
  <si>
    <r>
      <rPr>
        <b/>
        <sz val="14"/>
        <rFont val="標楷體"/>
        <family val="4"/>
        <charset val="136"/>
      </rPr>
      <t>一、建請免予減列，並修正提案文字為「凍結『通訊傳播監理政策企劃計畫</t>
    </r>
    <r>
      <rPr>
        <b/>
        <sz val="14"/>
        <rFont val="Times New Roman"/>
        <family val="1"/>
      </rPr>
      <t>-</t>
    </r>
    <r>
      <rPr>
        <b/>
        <sz val="14"/>
        <rFont val="標楷體"/>
        <family val="4"/>
        <charset val="136"/>
      </rPr>
      <t>服務費用</t>
    </r>
    <r>
      <rPr>
        <b/>
        <sz val="14"/>
        <rFont val="Times New Roman"/>
        <family val="1"/>
      </rPr>
      <t>-</t>
    </r>
    <r>
      <rPr>
        <b/>
        <sz val="14"/>
        <rFont val="標楷體"/>
        <family val="4"/>
        <charset val="136"/>
      </rPr>
      <t>旅運費』</t>
    </r>
    <r>
      <rPr>
        <b/>
        <sz val="14"/>
        <rFont val="Times New Roman"/>
        <family val="1"/>
      </rPr>
      <t>10%</t>
    </r>
    <r>
      <rPr>
        <b/>
        <sz val="14"/>
        <rFont val="標楷體"/>
        <family val="4"/>
        <charset val="136"/>
      </rPr>
      <t>，提書面報告後始得動支」。
二、通傳會「國外旅費」包含「世界行動通信會</t>
    </r>
    <r>
      <rPr>
        <sz val="14"/>
        <rFont val="標楷體"/>
        <family val="4"/>
        <charset val="136"/>
      </rPr>
      <t>議」、「</t>
    </r>
    <r>
      <rPr>
        <sz val="14"/>
        <rFont val="Times New Roman"/>
        <family val="1"/>
      </rPr>
      <t>APEC</t>
    </r>
    <r>
      <rPr>
        <sz val="14"/>
        <rFont val="標楷體"/>
        <family val="4"/>
        <charset val="136"/>
      </rPr>
      <t>電信暨資訊工作小組</t>
    </r>
    <r>
      <rPr>
        <sz val="14"/>
        <rFont val="Times New Roman"/>
        <family val="1"/>
      </rPr>
      <t>(TELWG)</t>
    </r>
    <r>
      <rPr>
        <sz val="14"/>
        <rFont val="標楷體"/>
        <family val="4"/>
        <charset val="136"/>
      </rPr>
      <t>會議」、「</t>
    </r>
    <r>
      <rPr>
        <sz val="14"/>
        <rFont val="Times New Roman"/>
        <family val="1"/>
      </rPr>
      <t>EuroDIG</t>
    </r>
    <r>
      <rPr>
        <sz val="14"/>
        <rFont val="標楷體"/>
        <family val="4"/>
        <charset val="136"/>
      </rPr>
      <t>歐洲網際網路治理論壇」、「國際傳播協會（</t>
    </r>
    <r>
      <rPr>
        <sz val="14"/>
        <rFont val="Times New Roman"/>
        <family val="1"/>
      </rPr>
      <t>IIC</t>
    </r>
    <r>
      <rPr>
        <sz val="14"/>
        <rFont val="標楷體"/>
        <family val="4"/>
        <charset val="136"/>
      </rPr>
      <t>）傳播政策管制週會議及區域論壇」、「亞洲視訊產業協會（</t>
    </r>
    <r>
      <rPr>
        <sz val="14"/>
        <rFont val="Times New Roman"/>
        <family val="1"/>
      </rPr>
      <t>AVIA</t>
    </r>
    <r>
      <rPr>
        <sz val="14"/>
        <rFont val="標楷體"/>
        <family val="4"/>
        <charset val="136"/>
      </rPr>
      <t>）峰會」等，除參與會議外，亦積極擔任講者分享我國經驗，與國際通傳監理機關進行雙邊交流，有助了解國際監理趨勢並提升我國國際能見度。
三、本年截至</t>
    </r>
    <r>
      <rPr>
        <sz val="14"/>
        <rFont val="Times New Roman"/>
        <family val="1"/>
      </rPr>
      <t>4</t>
    </r>
    <r>
      <rPr>
        <sz val="14"/>
        <rFont val="標楷體"/>
        <family val="4"/>
        <charset val="136"/>
      </rPr>
      <t>月底執行數</t>
    </r>
    <r>
      <rPr>
        <sz val="14"/>
        <rFont val="Times New Roman"/>
        <family val="1"/>
      </rPr>
      <t>3,290</t>
    </r>
    <r>
      <rPr>
        <sz val="14"/>
        <rFont val="標楷體"/>
        <family val="4"/>
        <charset val="136"/>
      </rPr>
      <t>千元，預估尚須執行</t>
    </r>
    <r>
      <rPr>
        <sz val="14"/>
        <rFont val="Times New Roman"/>
        <family val="1"/>
      </rPr>
      <t>25,370</t>
    </r>
    <r>
      <rPr>
        <sz val="14"/>
        <rFont val="標楷體"/>
        <family val="4"/>
        <charset val="136"/>
      </rPr>
      <t>千元，全年共需</t>
    </r>
    <r>
      <rPr>
        <sz val="14"/>
        <rFont val="Times New Roman"/>
        <family val="1"/>
      </rPr>
      <t>28,660</t>
    </r>
    <r>
      <rPr>
        <sz val="14"/>
        <rFont val="標楷體"/>
        <family val="4"/>
        <charset val="136"/>
      </rPr>
      <t>千元。另「國外旅費」本年截至</t>
    </r>
    <r>
      <rPr>
        <sz val="14"/>
        <rFont val="Times New Roman"/>
        <family val="1"/>
      </rPr>
      <t>4</t>
    </r>
    <r>
      <rPr>
        <sz val="14"/>
        <rFont val="標楷體"/>
        <family val="4"/>
        <charset val="136"/>
      </rPr>
      <t>月底執行數至</t>
    </r>
    <r>
      <rPr>
        <sz val="14"/>
        <rFont val="Times New Roman"/>
        <family val="1"/>
      </rPr>
      <t>549</t>
    </r>
    <r>
      <rPr>
        <sz val="14"/>
        <rFont val="標楷體"/>
        <family val="4"/>
        <charset val="136"/>
      </rPr>
      <t>千元，預估尚須執行</t>
    </r>
    <r>
      <rPr>
        <sz val="14"/>
        <rFont val="Times New Roman"/>
        <family val="1"/>
      </rPr>
      <t>2,910</t>
    </r>
    <r>
      <rPr>
        <sz val="14"/>
        <rFont val="標楷體"/>
        <family val="4"/>
        <charset val="136"/>
      </rPr>
      <t>千元，全年共需</t>
    </r>
    <r>
      <rPr>
        <sz val="14"/>
        <rFont val="Times New Roman"/>
        <family val="1"/>
      </rPr>
      <t>3,459</t>
    </r>
    <r>
      <rPr>
        <sz val="14"/>
        <rFont val="標楷體"/>
        <family val="4"/>
        <charset val="136"/>
      </rPr>
      <t>千元。</t>
    </r>
    <phoneticPr fontId="32" type="noConversion"/>
  </si>
  <si>
    <r>
      <rPr>
        <sz val="14"/>
        <rFont val="標楷體"/>
        <family val="4"/>
        <charset val="136"/>
      </rPr>
      <t>委保</t>
    </r>
    <r>
      <rPr>
        <sz val="14"/>
        <rFont val="Times New Roman"/>
        <family val="1"/>
      </rPr>
      <t>14</t>
    </r>
  </si>
  <si>
    <r>
      <rPr>
        <sz val="14"/>
        <rFont val="標楷體"/>
        <family val="4"/>
        <charset val="136"/>
      </rPr>
      <t>陳素月</t>
    </r>
  </si>
  <si>
    <r>
      <rPr>
        <sz val="14"/>
        <rFont val="標楷體"/>
        <family val="4"/>
        <charset val="136"/>
      </rPr>
      <t>「通訊傳播監理政策企劃計畫」編列</t>
    </r>
    <r>
      <rPr>
        <sz val="14"/>
        <rFont val="Times New Roman"/>
        <family val="1"/>
      </rPr>
      <t>2,866</t>
    </r>
    <r>
      <rPr>
        <sz val="14"/>
        <rFont val="標楷體"/>
        <family val="4"/>
        <charset val="136"/>
      </rPr>
      <t>萬元，凍結</t>
    </r>
    <r>
      <rPr>
        <sz val="14"/>
        <rFont val="Times New Roman"/>
        <family val="1"/>
      </rPr>
      <t>10%</t>
    </r>
    <r>
      <rPr>
        <sz val="14"/>
        <rFont val="標楷體"/>
        <family val="4"/>
        <charset val="136"/>
      </rPr>
      <t>，俟通傳會針對「網際網路視聽服務管理法」中國廣電節目治理政策、本土節目保障及相關法制推展進程，於</t>
    </r>
    <r>
      <rPr>
        <sz val="14"/>
        <rFont val="Times New Roman"/>
        <family val="1"/>
      </rPr>
      <t>3</t>
    </r>
    <r>
      <rPr>
        <sz val="14"/>
        <rFont val="標楷體"/>
        <family val="4"/>
        <charset val="136"/>
      </rPr>
      <t>個月內向交通委員會提出書面報告後，始得動支。</t>
    </r>
    <phoneticPr fontId="32" type="noConversion"/>
  </si>
  <si>
    <r>
      <rPr>
        <b/>
        <sz val="14"/>
        <rFont val="標楷體"/>
        <family val="4"/>
        <charset val="136"/>
      </rPr>
      <t>遵照辦理</t>
    </r>
    <r>
      <rPr>
        <b/>
        <sz val="14"/>
        <rFont val="Times New Roman"/>
        <family val="1"/>
      </rPr>
      <t>(</t>
    </r>
    <r>
      <rPr>
        <b/>
        <sz val="14"/>
        <rFont val="標楷體"/>
        <family val="4"/>
        <charset val="136"/>
      </rPr>
      <t>本會遵照辦理，惟礙於委員會保留提案未審查</t>
    </r>
    <r>
      <rPr>
        <b/>
        <sz val="14"/>
        <rFont val="Times New Roman"/>
        <family val="1"/>
      </rPr>
      <t>)</t>
    </r>
    <r>
      <rPr>
        <b/>
        <sz val="14"/>
        <rFont val="標楷體"/>
        <family val="4"/>
        <charset val="136"/>
      </rPr>
      <t>。</t>
    </r>
  </si>
  <si>
    <r>
      <rPr>
        <sz val="14"/>
        <rFont val="標楷體"/>
        <family val="4"/>
        <charset val="136"/>
      </rPr>
      <t>委保</t>
    </r>
    <r>
      <rPr>
        <sz val="14"/>
        <rFont val="Times New Roman"/>
        <family val="1"/>
      </rPr>
      <t>15</t>
    </r>
  </si>
  <si>
    <r>
      <rPr>
        <sz val="14"/>
        <rFont val="標楷體"/>
        <family val="4"/>
        <charset val="136"/>
      </rPr>
      <t>「通訊傳播監理政策企劃計畫</t>
    </r>
    <r>
      <rPr>
        <sz val="14"/>
        <rFont val="Times New Roman"/>
        <family val="1"/>
      </rPr>
      <t>-</t>
    </r>
    <r>
      <rPr>
        <sz val="14"/>
        <rFont val="標楷體"/>
        <family val="4"/>
        <charset val="136"/>
      </rPr>
      <t>旅運費」編列</t>
    </r>
    <r>
      <rPr>
        <sz val="14"/>
        <rFont val="Times New Roman"/>
        <family val="1"/>
      </rPr>
      <t>358</t>
    </r>
    <r>
      <rPr>
        <sz val="14"/>
        <rFont val="標楷體"/>
        <family val="4"/>
        <charset val="136"/>
      </rPr>
      <t>萬</t>
    </r>
    <r>
      <rPr>
        <sz val="14"/>
        <rFont val="Times New Roman"/>
        <family val="1"/>
      </rPr>
      <t>3</t>
    </r>
    <r>
      <rPr>
        <sz val="14"/>
        <rFont val="標楷體"/>
        <family val="4"/>
        <charset val="136"/>
      </rPr>
      <t>千元，惟查國外旅費部分，預期參加之會議、業務交流計畫之內容與預期成效，於預算書無提供任何說明，爰本項預算全數刪除。</t>
    </r>
  </si>
  <si>
    <r>
      <rPr>
        <b/>
        <sz val="14"/>
        <rFont val="標楷體"/>
        <family val="4"/>
        <charset val="136"/>
      </rPr>
      <t>一、建請免予減列，並修正提案文字為「凍結『通訊傳播監理政策企劃計畫</t>
    </r>
    <r>
      <rPr>
        <b/>
        <sz val="14"/>
        <rFont val="Times New Roman"/>
        <family val="1"/>
      </rPr>
      <t>-</t>
    </r>
    <r>
      <rPr>
        <b/>
        <sz val="14"/>
        <rFont val="標楷體"/>
        <family val="4"/>
        <charset val="136"/>
      </rPr>
      <t>服務費用</t>
    </r>
    <r>
      <rPr>
        <b/>
        <sz val="14"/>
        <rFont val="Times New Roman"/>
        <family val="1"/>
      </rPr>
      <t>-</t>
    </r>
    <r>
      <rPr>
        <b/>
        <sz val="14"/>
        <rFont val="標楷體"/>
        <family val="4"/>
        <charset val="136"/>
      </rPr>
      <t>旅運費』</t>
    </r>
    <r>
      <rPr>
        <b/>
        <sz val="14"/>
        <rFont val="Times New Roman"/>
        <family val="1"/>
      </rPr>
      <t>10%</t>
    </r>
    <r>
      <rPr>
        <b/>
        <sz val="14"/>
        <rFont val="標楷體"/>
        <family val="4"/>
        <charset val="136"/>
      </rPr>
      <t>，提書面報告後始得動支」。</t>
    </r>
    <r>
      <rPr>
        <sz val="14"/>
        <rFont val="Times New Roman"/>
        <family val="1"/>
      </rPr>
      <t xml:space="preserve">
</t>
    </r>
    <r>
      <rPr>
        <sz val="14"/>
        <rFont val="標楷體"/>
        <family val="4"/>
        <charset val="136"/>
      </rPr>
      <t>二、通傳會「國外旅費」包含「世界行動通信會議」、「</t>
    </r>
    <r>
      <rPr>
        <sz val="14"/>
        <rFont val="Times New Roman"/>
        <family val="1"/>
      </rPr>
      <t>APEC</t>
    </r>
    <r>
      <rPr>
        <sz val="14"/>
        <rFont val="標楷體"/>
        <family val="4"/>
        <charset val="136"/>
      </rPr>
      <t>電信暨資訊工作小組</t>
    </r>
    <r>
      <rPr>
        <sz val="14"/>
        <rFont val="Times New Roman"/>
        <family val="1"/>
      </rPr>
      <t>(TELWG)</t>
    </r>
    <r>
      <rPr>
        <sz val="14"/>
        <rFont val="標楷體"/>
        <family val="4"/>
        <charset val="136"/>
      </rPr>
      <t>會議」、「</t>
    </r>
    <r>
      <rPr>
        <sz val="14"/>
        <rFont val="Times New Roman"/>
        <family val="1"/>
      </rPr>
      <t>EuroDIG</t>
    </r>
    <r>
      <rPr>
        <sz val="14"/>
        <rFont val="標楷體"/>
        <family val="4"/>
        <charset val="136"/>
      </rPr>
      <t>歐洲網際網路治理論壇」、「國際傳播協會（</t>
    </r>
    <r>
      <rPr>
        <sz val="14"/>
        <rFont val="Times New Roman"/>
        <family val="1"/>
      </rPr>
      <t>IIC</t>
    </r>
    <r>
      <rPr>
        <sz val="14"/>
        <rFont val="標楷體"/>
        <family val="4"/>
        <charset val="136"/>
      </rPr>
      <t>）傳播政策管制週會議及區域論壇」、「亞洲視訊產業協會（</t>
    </r>
    <r>
      <rPr>
        <sz val="14"/>
        <rFont val="Times New Roman"/>
        <family val="1"/>
      </rPr>
      <t>AVIA</t>
    </r>
    <r>
      <rPr>
        <sz val="14"/>
        <rFont val="標楷體"/>
        <family val="4"/>
        <charset val="136"/>
      </rPr>
      <t>）峰會」等，除參與會議外，亦積極擔任講者分享我國經驗，與國際通傳監理機關進行雙邊交流，有助了解國際監理趨勢並提升我國國際能見度。
三、本年截至</t>
    </r>
    <r>
      <rPr>
        <sz val="14"/>
        <rFont val="Times New Roman"/>
        <family val="1"/>
      </rPr>
      <t>4</t>
    </r>
    <r>
      <rPr>
        <sz val="14"/>
        <rFont val="標楷體"/>
        <family val="4"/>
        <charset val="136"/>
      </rPr>
      <t>月底「服務費用</t>
    </r>
    <r>
      <rPr>
        <sz val="14"/>
        <rFont val="Times New Roman"/>
        <family val="1"/>
      </rPr>
      <t>-</t>
    </r>
    <r>
      <rPr>
        <sz val="14"/>
        <rFont val="標楷體"/>
        <family val="4"/>
        <charset val="136"/>
      </rPr>
      <t>旅運費』執行數</t>
    </r>
    <r>
      <rPr>
        <sz val="14"/>
        <rFont val="Times New Roman"/>
        <family val="1"/>
      </rPr>
      <t>557</t>
    </r>
    <r>
      <rPr>
        <sz val="14"/>
        <rFont val="標楷體"/>
        <family val="4"/>
        <charset val="136"/>
      </rPr>
      <t>千元，預估尚須執行</t>
    </r>
    <r>
      <rPr>
        <sz val="14"/>
        <rFont val="Times New Roman"/>
        <family val="1"/>
      </rPr>
      <t>3,026</t>
    </r>
    <r>
      <rPr>
        <sz val="14"/>
        <rFont val="標楷體"/>
        <family val="4"/>
        <charset val="136"/>
      </rPr>
      <t>千元，全年共需</t>
    </r>
    <r>
      <rPr>
        <sz val="14"/>
        <rFont val="Times New Roman"/>
        <family val="1"/>
      </rPr>
      <t>3,583</t>
    </r>
    <r>
      <rPr>
        <sz val="14"/>
        <rFont val="標楷體"/>
        <family val="4"/>
        <charset val="136"/>
      </rPr>
      <t>千元。另「國外旅費」本年截至</t>
    </r>
    <r>
      <rPr>
        <sz val="14"/>
        <rFont val="Times New Roman"/>
        <family val="1"/>
      </rPr>
      <t>4</t>
    </r>
    <r>
      <rPr>
        <sz val="14"/>
        <rFont val="標楷體"/>
        <family val="4"/>
        <charset val="136"/>
      </rPr>
      <t>月底執行數至</t>
    </r>
    <r>
      <rPr>
        <sz val="14"/>
        <rFont val="Times New Roman"/>
        <family val="1"/>
      </rPr>
      <t>549</t>
    </r>
    <r>
      <rPr>
        <sz val="14"/>
        <rFont val="標楷體"/>
        <family val="4"/>
        <charset val="136"/>
      </rPr>
      <t>千元，預估尚須執行</t>
    </r>
    <r>
      <rPr>
        <sz val="14"/>
        <rFont val="Times New Roman"/>
        <family val="1"/>
      </rPr>
      <t>2,910</t>
    </r>
    <r>
      <rPr>
        <sz val="14"/>
        <rFont val="標楷體"/>
        <family val="4"/>
        <charset val="136"/>
      </rPr>
      <t>千元，全年共需</t>
    </r>
    <r>
      <rPr>
        <sz val="14"/>
        <rFont val="Times New Roman"/>
        <family val="1"/>
      </rPr>
      <t>3,459</t>
    </r>
    <r>
      <rPr>
        <sz val="14"/>
        <rFont val="標楷體"/>
        <family val="4"/>
        <charset val="136"/>
      </rPr>
      <t>千元。</t>
    </r>
    <phoneticPr fontId="32" type="noConversion"/>
  </si>
  <si>
    <r>
      <rPr>
        <sz val="14"/>
        <rFont val="標楷體"/>
        <family val="4"/>
        <charset val="136"/>
      </rPr>
      <t>委保</t>
    </r>
    <r>
      <rPr>
        <sz val="14"/>
        <rFont val="Times New Roman"/>
        <family val="1"/>
      </rPr>
      <t>16</t>
    </r>
  </si>
  <si>
    <r>
      <rPr>
        <sz val="14"/>
        <rFont val="標楷體"/>
        <family val="4"/>
        <charset val="136"/>
      </rPr>
      <t>「通訊傳播監理政策企劃計畫</t>
    </r>
    <r>
      <rPr>
        <sz val="14"/>
        <rFont val="Times New Roman"/>
        <family val="1"/>
      </rPr>
      <t>-</t>
    </r>
    <r>
      <rPr>
        <sz val="14"/>
        <rFont val="標楷體"/>
        <family val="4"/>
        <charset val="136"/>
      </rPr>
      <t>印刷裝訂及公告費」編列</t>
    </r>
    <r>
      <rPr>
        <sz val="14"/>
        <rFont val="Times New Roman"/>
        <family val="1"/>
      </rPr>
      <t>164</t>
    </r>
    <r>
      <rPr>
        <sz val="14"/>
        <rFont val="標楷體"/>
        <family val="4"/>
        <charset val="136"/>
      </rPr>
      <t>萬元，惟因應節能減碳，相關資訊網路公告即可，本於維護環境，撙節預算及監審預算，爰本項預算全數刪除。</t>
    </r>
  </si>
  <si>
    <r>
      <rPr>
        <b/>
        <sz val="14"/>
        <rFont val="標楷體"/>
        <family val="4"/>
        <charset val="136"/>
      </rPr>
      <t>一、建請第</t>
    </r>
    <r>
      <rPr>
        <b/>
        <sz val="14"/>
        <rFont val="Times New Roman"/>
        <family val="1"/>
      </rPr>
      <t>16</t>
    </r>
    <r>
      <rPr>
        <b/>
        <sz val="14"/>
        <rFont val="標楷體"/>
        <family val="4"/>
        <charset val="136"/>
      </rPr>
      <t>案、</t>
    </r>
    <r>
      <rPr>
        <b/>
        <sz val="14"/>
        <rFont val="Times New Roman"/>
        <family val="1"/>
      </rPr>
      <t>17</t>
    </r>
    <r>
      <rPr>
        <b/>
        <sz val="14"/>
        <rFont val="標楷體"/>
        <family val="4"/>
        <charset val="136"/>
      </rPr>
      <t>案併案處理，免予刪除，修正提案文字為「凍結</t>
    </r>
    <r>
      <rPr>
        <b/>
        <sz val="14"/>
        <rFont val="Times New Roman"/>
        <family val="1"/>
      </rPr>
      <t>10%</t>
    </r>
    <r>
      <rPr>
        <b/>
        <sz val="14"/>
        <rFont val="標楷體"/>
        <family val="4"/>
        <charset val="136"/>
      </rPr>
      <t>，向立法院交通委員會提出書面報告後，始得動支。」</t>
    </r>
    <r>
      <rPr>
        <sz val="14"/>
        <rFont val="Times New Roman"/>
        <family val="1"/>
      </rPr>
      <t xml:space="preserve">
</t>
    </r>
    <r>
      <rPr>
        <sz val="14"/>
        <rFont val="標楷體"/>
        <family val="4"/>
        <charset val="136"/>
      </rPr>
      <t>二、通傳會依通訊傳播基本法第</t>
    </r>
    <r>
      <rPr>
        <sz val="14"/>
        <rFont val="Times New Roman"/>
        <family val="1"/>
      </rPr>
      <t>13</t>
    </r>
    <r>
      <rPr>
        <sz val="14"/>
        <rFont val="標楷體"/>
        <family val="4"/>
        <charset val="136"/>
      </rPr>
      <t>條規定，每年應提出績效報告及改進建議，依法送立法院備查。除此，尙有多項業務，如印製至立法院業務報告及各委員會專案報告、監察院交通及採購委員會巡察業務之專案報告、推行重大業務之說明會資料及流程手冊，及國際交流業務之中、英文簡介摺頁及相關國際會議時等印製相關書面資料等。
三、本年截至</t>
    </r>
    <r>
      <rPr>
        <sz val="14"/>
        <rFont val="Times New Roman"/>
        <family val="1"/>
      </rPr>
      <t>4</t>
    </r>
    <r>
      <rPr>
        <sz val="14"/>
        <rFont val="標楷體"/>
        <family val="4"/>
        <charset val="136"/>
      </rPr>
      <t>月底執行數</t>
    </r>
    <r>
      <rPr>
        <sz val="14"/>
        <rFont val="Times New Roman"/>
        <family val="1"/>
      </rPr>
      <t>12</t>
    </r>
    <r>
      <rPr>
        <sz val="14"/>
        <rFont val="標楷體"/>
        <family val="4"/>
        <charset val="136"/>
      </rPr>
      <t>千元，預估尚須執行</t>
    </r>
    <r>
      <rPr>
        <sz val="14"/>
        <rFont val="Times New Roman"/>
        <family val="1"/>
      </rPr>
      <t>1,628</t>
    </r>
    <r>
      <rPr>
        <sz val="14"/>
        <rFont val="標楷體"/>
        <family val="4"/>
        <charset val="136"/>
      </rPr>
      <t>千元，全年共需</t>
    </r>
    <r>
      <rPr>
        <sz val="14"/>
        <rFont val="Times New Roman"/>
        <family val="1"/>
      </rPr>
      <t>1,640</t>
    </r>
    <r>
      <rPr>
        <sz val="14"/>
        <rFont val="標楷體"/>
        <family val="4"/>
        <charset val="136"/>
      </rPr>
      <t>千元。</t>
    </r>
    <phoneticPr fontId="32" type="noConversion"/>
  </si>
  <si>
    <r>
      <rPr>
        <sz val="14"/>
        <rFont val="標楷體"/>
        <family val="4"/>
        <charset val="136"/>
      </rPr>
      <t>委保</t>
    </r>
    <r>
      <rPr>
        <sz val="14"/>
        <rFont val="Times New Roman"/>
        <family val="1"/>
      </rPr>
      <t>17</t>
    </r>
  </si>
  <si>
    <r>
      <rPr>
        <sz val="14"/>
        <rFont val="標楷體"/>
        <family val="4"/>
        <charset val="136"/>
      </rPr>
      <t>邱若華</t>
    </r>
  </si>
  <si>
    <r>
      <rPr>
        <sz val="14"/>
        <rFont val="標楷體"/>
        <family val="4"/>
        <charset val="136"/>
      </rPr>
      <t>「通訊傳播監理政策企劃計畫</t>
    </r>
    <r>
      <rPr>
        <sz val="14"/>
        <rFont val="Times New Roman"/>
        <family val="1"/>
      </rPr>
      <t>-</t>
    </r>
    <r>
      <rPr>
        <sz val="14"/>
        <rFont val="標楷體"/>
        <family val="4"/>
        <charset val="136"/>
      </rPr>
      <t>印刷裝訂及公告費」編列</t>
    </r>
    <r>
      <rPr>
        <sz val="14"/>
        <rFont val="Times New Roman"/>
        <family val="1"/>
      </rPr>
      <t>164</t>
    </r>
    <r>
      <rPr>
        <sz val="14"/>
        <rFont val="標楷體"/>
        <family val="4"/>
        <charset val="136"/>
      </rPr>
      <t>萬元，惟電子書成為主流，紙本書市場萎縮，相關報告應以電子書方式呈現，另外行政機關推動無紙化已數年，爰減列該項預算</t>
    </r>
    <r>
      <rPr>
        <sz val="14"/>
        <rFont val="Times New Roman"/>
        <family val="1"/>
      </rPr>
      <t>30</t>
    </r>
    <r>
      <rPr>
        <sz val="14"/>
        <rFont val="標楷體"/>
        <family val="4"/>
        <charset val="136"/>
      </rPr>
      <t>萬元。</t>
    </r>
  </si>
  <si>
    <r>
      <rPr>
        <b/>
        <sz val="14"/>
        <rFont val="標楷體"/>
        <family val="4"/>
        <charset val="136"/>
      </rPr>
      <t>一、建請第</t>
    </r>
    <r>
      <rPr>
        <b/>
        <sz val="14"/>
        <rFont val="Times New Roman"/>
        <family val="1"/>
      </rPr>
      <t>16</t>
    </r>
    <r>
      <rPr>
        <b/>
        <sz val="14"/>
        <rFont val="標楷體"/>
        <family val="4"/>
        <charset val="136"/>
      </rPr>
      <t>案、</t>
    </r>
    <r>
      <rPr>
        <b/>
        <sz val="14"/>
        <rFont val="Times New Roman"/>
        <family val="1"/>
      </rPr>
      <t>17</t>
    </r>
    <r>
      <rPr>
        <b/>
        <sz val="14"/>
        <rFont val="標楷體"/>
        <family val="4"/>
        <charset val="136"/>
      </rPr>
      <t>案併案處理，免予刪除，修正提案文字為「凍結</t>
    </r>
    <r>
      <rPr>
        <b/>
        <sz val="14"/>
        <rFont val="Times New Roman"/>
        <family val="1"/>
      </rPr>
      <t>10%</t>
    </r>
    <r>
      <rPr>
        <b/>
        <sz val="14"/>
        <rFont val="標楷體"/>
        <family val="4"/>
        <charset val="136"/>
      </rPr>
      <t xml:space="preserve">，向立法院交通委員會提出書面報告後，始得動支。」
</t>
    </r>
    <r>
      <rPr>
        <sz val="14"/>
        <rFont val="標楷體"/>
        <family val="4"/>
        <charset val="136"/>
      </rPr>
      <t>二、同第</t>
    </r>
    <r>
      <rPr>
        <sz val="14"/>
        <rFont val="Times New Roman"/>
        <family val="1"/>
      </rPr>
      <t>17</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12</t>
    </r>
    <r>
      <rPr>
        <sz val="14"/>
        <rFont val="標楷體"/>
        <family val="4"/>
        <charset val="136"/>
      </rPr>
      <t>千元，預估尚須執行</t>
    </r>
    <r>
      <rPr>
        <sz val="14"/>
        <rFont val="Times New Roman"/>
        <family val="1"/>
      </rPr>
      <t>1,628</t>
    </r>
    <r>
      <rPr>
        <sz val="14"/>
        <rFont val="標楷體"/>
        <family val="4"/>
        <charset val="136"/>
      </rPr>
      <t>千元，全年共需</t>
    </r>
    <r>
      <rPr>
        <sz val="14"/>
        <rFont val="Times New Roman"/>
        <family val="1"/>
      </rPr>
      <t>1,640</t>
    </r>
    <r>
      <rPr>
        <sz val="14"/>
        <rFont val="標楷體"/>
        <family val="4"/>
        <charset val="136"/>
      </rPr>
      <t>千元。</t>
    </r>
    <phoneticPr fontId="32" type="noConversion"/>
  </si>
  <si>
    <r>
      <rPr>
        <sz val="14"/>
        <rFont val="標楷體"/>
        <family val="4"/>
        <charset val="136"/>
      </rPr>
      <t>委保</t>
    </r>
    <r>
      <rPr>
        <sz val="14"/>
        <rFont val="Times New Roman"/>
        <family val="1"/>
      </rPr>
      <t>18</t>
    </r>
  </si>
  <si>
    <r>
      <rPr>
        <sz val="14"/>
        <rFont val="標楷體"/>
        <family val="4"/>
        <charset val="136"/>
      </rPr>
      <t>「通訊傳播監理政策企劃計畫</t>
    </r>
    <r>
      <rPr>
        <sz val="14"/>
        <rFont val="Times New Roman"/>
        <family val="1"/>
      </rPr>
      <t>-</t>
    </r>
    <r>
      <rPr>
        <sz val="14"/>
        <rFont val="標楷體"/>
        <family val="4"/>
        <charset val="136"/>
      </rPr>
      <t>專業服務費」編列</t>
    </r>
    <r>
      <rPr>
        <sz val="14"/>
        <rFont val="Times New Roman"/>
        <family val="1"/>
      </rPr>
      <t>1,701</t>
    </r>
    <r>
      <rPr>
        <sz val="14"/>
        <rFont val="標楷體"/>
        <family val="4"/>
        <charset val="136"/>
      </rPr>
      <t>萬</t>
    </r>
    <r>
      <rPr>
        <sz val="14"/>
        <rFont val="Times New Roman"/>
        <family val="1"/>
      </rPr>
      <t>1</t>
    </r>
    <r>
      <rPr>
        <sz val="14"/>
        <rFont val="標楷體"/>
        <family val="4"/>
        <charset val="136"/>
      </rPr>
      <t>千元，惟</t>
    </r>
    <r>
      <rPr>
        <sz val="14"/>
        <rFont val="Times New Roman"/>
        <family val="1"/>
      </rPr>
      <t>114</t>
    </r>
    <r>
      <rPr>
        <sz val="14"/>
        <rFont val="標楷體"/>
        <family val="4"/>
        <charset val="136"/>
      </rPr>
      <t>年度欲辦理之公聽會等場數、主題與內容、預期人數與目標均未說明，爰本項預算全數刪除。</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</si>
  <si>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，提書面報告後始得動支」。</t>
    </r>
    <r>
      <rPr>
        <sz val="14"/>
        <rFont val="Times New Roman"/>
        <family val="1"/>
      </rPr>
      <t xml:space="preserve">
</t>
    </r>
    <r>
      <rPr>
        <sz val="14"/>
        <rFont val="標楷體"/>
        <family val="4"/>
        <charset val="136"/>
      </rPr>
      <t>二、通傳會辦理外賓拜會及國際交流藉重專業口譯人員協助溝通，相關之交流文書之翻譯屬專業需求。另因應我國特定電信服務市場觀測與界定暨相關法規調適、通訊傳播發展趨勢、通傳事業性平及人權業務之精進，須邀請外聘學者、專家諮詢，支付審查及出席費用。</t>
    </r>
    <r>
      <rPr>
        <sz val="14"/>
        <rFont val="Times New Roman"/>
        <family val="1"/>
      </rPr>
      <t>NCC News</t>
    </r>
    <r>
      <rPr>
        <sz val="14"/>
        <rFont val="標楷體"/>
        <family val="4"/>
        <charset val="136"/>
      </rPr>
      <t>季刊內容亦需文稿編排、人物採訪、版面美術編輯、圖表重製等費用。
三、本年截至</t>
    </r>
    <r>
      <rPr>
        <sz val="14"/>
        <rFont val="Times New Roman"/>
        <family val="1"/>
      </rPr>
      <t>4</t>
    </r>
    <r>
      <rPr>
        <sz val="14"/>
        <rFont val="標楷體"/>
        <family val="4"/>
        <charset val="136"/>
      </rPr>
      <t>月底執行數</t>
    </r>
    <r>
      <rPr>
        <sz val="14"/>
        <rFont val="Times New Roman"/>
        <family val="1"/>
      </rPr>
      <t>1,087</t>
    </r>
    <r>
      <rPr>
        <sz val="14"/>
        <rFont val="標楷體"/>
        <family val="4"/>
        <charset val="136"/>
      </rPr>
      <t>千元，預估尚須執行</t>
    </r>
    <r>
      <rPr>
        <sz val="14"/>
        <rFont val="Times New Roman"/>
        <family val="1"/>
      </rPr>
      <t>15,924</t>
    </r>
    <r>
      <rPr>
        <sz val="14"/>
        <rFont val="標楷體"/>
        <family val="4"/>
        <charset val="136"/>
      </rPr>
      <t>千元，全年共需</t>
    </r>
    <r>
      <rPr>
        <sz val="14"/>
        <rFont val="Times New Roman"/>
        <family val="1"/>
      </rPr>
      <t>17,011</t>
    </r>
    <r>
      <rPr>
        <sz val="14"/>
        <rFont val="標楷體"/>
        <family val="4"/>
        <charset val="136"/>
      </rPr>
      <t>千元。</t>
    </r>
    <phoneticPr fontId="32" type="noConversion"/>
  </si>
  <si>
    <r>
      <rPr>
        <sz val="14"/>
        <rFont val="標楷體"/>
        <family val="4"/>
        <charset val="136"/>
      </rPr>
      <t>委保</t>
    </r>
    <r>
      <rPr>
        <sz val="14"/>
        <rFont val="Times New Roman"/>
        <family val="1"/>
      </rPr>
      <t>19</t>
    </r>
  </si>
  <si>
    <r>
      <rPr>
        <sz val="14"/>
        <rFont val="標楷體"/>
        <family val="4"/>
        <charset val="136"/>
      </rPr>
      <t>徐富癸</t>
    </r>
    <phoneticPr fontId="32" type="noConversion"/>
  </si>
  <si>
    <r>
      <rPr>
        <sz val="14"/>
        <rFont val="標楷體"/>
        <family val="4"/>
        <charset val="136"/>
      </rPr>
      <t>「通訊傳播監理政策企劃計畫</t>
    </r>
    <r>
      <rPr>
        <sz val="14"/>
        <rFont val="Times New Roman"/>
        <family val="1"/>
      </rPr>
      <t>-</t>
    </r>
    <r>
      <rPr>
        <sz val="14"/>
        <rFont val="標楷體"/>
        <family val="4"/>
        <charset val="136"/>
      </rPr>
      <t>專業服務費」編列</t>
    </r>
    <r>
      <rPr>
        <sz val="14"/>
        <rFont val="Times New Roman"/>
        <family val="1"/>
      </rPr>
      <t>1,701</t>
    </r>
    <r>
      <rPr>
        <sz val="14"/>
        <rFont val="標楷體"/>
        <family val="4"/>
        <charset val="136"/>
      </rPr>
      <t>萬</t>
    </r>
    <r>
      <rPr>
        <sz val="14"/>
        <rFont val="Times New Roman"/>
        <family val="1"/>
      </rPr>
      <t>1</t>
    </r>
    <r>
      <rPr>
        <sz val="14"/>
        <rFont val="標楷體"/>
        <family val="4"/>
        <charset val="136"/>
      </rPr>
      <t>千元，通傳會至今尚未提出「電信管理法」修正草案版本，爰減列該項預算</t>
    </r>
    <r>
      <rPr>
        <sz val="14"/>
        <rFont val="Times New Roman"/>
        <family val="1"/>
      </rPr>
      <t>170</t>
    </r>
    <r>
      <rPr>
        <sz val="14"/>
        <rFont val="標楷體"/>
        <family val="4"/>
        <charset val="136"/>
      </rPr>
      <t>萬元。</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</si>
  <si>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，提書面報告後始得動支」。</t>
    </r>
    <r>
      <rPr>
        <sz val="14"/>
        <rFont val="Times New Roman"/>
        <family val="1"/>
      </rPr>
      <t xml:space="preserve">
</t>
    </r>
    <r>
      <rPr>
        <sz val="14"/>
        <rFont val="標楷體"/>
        <family val="4"/>
        <charset val="136"/>
      </rPr>
      <t>二、</t>
    </r>
    <r>
      <rPr>
        <sz val="14"/>
        <rFont val="Times New Roman"/>
        <family val="1"/>
      </rPr>
      <t>IASP</t>
    </r>
    <r>
      <rPr>
        <sz val="14"/>
        <rFont val="標楷體"/>
        <family val="4"/>
        <charset val="136"/>
      </rPr>
      <t>在現行電信管理法架構下無須向主管機關登記，通傳會近期已函請</t>
    </r>
    <r>
      <rPr>
        <sz val="14"/>
        <rFont val="Times New Roman"/>
        <family val="1"/>
      </rPr>
      <t>IASP</t>
    </r>
    <r>
      <rPr>
        <sz val="14"/>
        <rFont val="標楷體"/>
        <family val="4"/>
        <charset val="136"/>
      </rPr>
      <t>業者加入</t>
    </r>
    <r>
      <rPr>
        <sz val="14"/>
        <rFont val="Times New Roman"/>
        <family val="1"/>
      </rPr>
      <t>TWNIC</t>
    </r>
    <r>
      <rPr>
        <sz val="14"/>
        <rFont val="標楷體"/>
        <family val="4"/>
        <charset val="136"/>
      </rPr>
      <t>之</t>
    </r>
    <r>
      <rPr>
        <sz val="14"/>
        <rFont val="Times New Roman"/>
        <family val="1"/>
      </rPr>
      <t>DNS RPZ</t>
    </r>
    <r>
      <rPr>
        <sz val="14"/>
        <rFont val="標楷體"/>
        <family val="4"/>
        <charset val="136"/>
      </rPr>
      <t>機制，並召開數次會議積極研議將</t>
    </r>
    <r>
      <rPr>
        <sz val="14"/>
        <rFont val="Times New Roman"/>
        <family val="1"/>
      </rPr>
      <t>IASP</t>
    </r>
    <r>
      <rPr>
        <sz val="14"/>
        <rFont val="標楷體"/>
        <family val="4"/>
        <charset val="136"/>
      </rPr>
      <t>等業者納管修法；在電信管理法完成修法前，現行已有各部會針對網際網路接取服務提供者限制接取進行立法，建立相關機制進行因應。
三、本年截至</t>
    </r>
    <r>
      <rPr>
        <sz val="14"/>
        <rFont val="Times New Roman"/>
        <family val="1"/>
      </rPr>
      <t>4</t>
    </r>
    <r>
      <rPr>
        <sz val="14"/>
        <rFont val="標楷體"/>
        <family val="4"/>
        <charset val="136"/>
      </rPr>
      <t>月底執行數</t>
    </r>
    <r>
      <rPr>
        <sz val="14"/>
        <rFont val="Times New Roman"/>
        <family val="1"/>
      </rPr>
      <t>1,087</t>
    </r>
    <r>
      <rPr>
        <sz val="14"/>
        <rFont val="標楷體"/>
        <family val="4"/>
        <charset val="136"/>
      </rPr>
      <t>千元，預估尚須執行</t>
    </r>
    <r>
      <rPr>
        <sz val="14"/>
        <rFont val="Times New Roman"/>
        <family val="1"/>
      </rPr>
      <t>15,924</t>
    </r>
    <r>
      <rPr>
        <sz val="14"/>
        <rFont val="標楷體"/>
        <family val="4"/>
        <charset val="136"/>
      </rPr>
      <t>千元，全年共需</t>
    </r>
    <r>
      <rPr>
        <sz val="14"/>
        <rFont val="Times New Roman"/>
        <family val="1"/>
      </rPr>
      <t>17,011</t>
    </r>
    <r>
      <rPr>
        <sz val="14"/>
        <rFont val="標楷體"/>
        <family val="4"/>
        <charset val="136"/>
      </rPr>
      <t>千元。</t>
    </r>
    <phoneticPr fontId="32" type="noConversion"/>
  </si>
  <si>
    <r>
      <rPr>
        <sz val="14"/>
        <rFont val="標楷體"/>
        <family val="4"/>
        <charset val="136"/>
      </rPr>
      <t>委保</t>
    </r>
    <r>
      <rPr>
        <sz val="14"/>
        <rFont val="Times New Roman"/>
        <family val="1"/>
      </rPr>
      <t>20</t>
    </r>
  </si>
  <si>
    <r>
      <rPr>
        <sz val="14"/>
        <rFont val="標楷體"/>
        <family val="4"/>
        <charset val="136"/>
      </rPr>
      <t>「基礎設施監理計畫」編列</t>
    </r>
    <r>
      <rPr>
        <sz val="14"/>
        <rFont val="Times New Roman"/>
        <family val="1"/>
      </rPr>
      <t>2</t>
    </r>
    <r>
      <rPr>
        <sz val="14"/>
        <rFont val="標楷體"/>
        <family val="4"/>
        <charset val="136"/>
      </rPr>
      <t>億</t>
    </r>
    <r>
      <rPr>
        <sz val="14"/>
        <rFont val="Times New Roman"/>
        <family val="1"/>
      </rPr>
      <t>8,309</t>
    </r>
    <r>
      <rPr>
        <sz val="14"/>
        <rFont val="標楷體"/>
        <family val="4"/>
        <charset val="136"/>
      </rPr>
      <t>萬</t>
    </r>
    <r>
      <rPr>
        <sz val="14"/>
        <rFont val="Times New Roman"/>
        <family val="1"/>
      </rPr>
      <t>6</t>
    </r>
    <r>
      <rPr>
        <sz val="14"/>
        <rFont val="標楷體"/>
        <family val="4"/>
        <charset val="136"/>
      </rPr>
      <t>千元，凍結預算</t>
    </r>
    <r>
      <rPr>
        <sz val="14"/>
        <rFont val="Times New Roman"/>
        <family val="1"/>
      </rPr>
      <t>10%</t>
    </r>
    <r>
      <rPr>
        <sz val="14"/>
        <rFont val="標楷體"/>
        <family val="4"/>
        <charset val="136"/>
      </rPr>
      <t>，俟通傳會就防堵詐騙簡訊預先查核新制及未來精進措施，於三個月內向交通委員會提出書面報告後，始得動支。</t>
    </r>
    <phoneticPr fontId="32" type="noConversion"/>
  </si>
  <si>
    <r>
      <rPr>
        <sz val="14"/>
        <rFont val="標楷體"/>
        <family val="4"/>
        <charset val="136"/>
      </rPr>
      <t>委保</t>
    </r>
    <r>
      <rPr>
        <sz val="14"/>
        <rFont val="Times New Roman"/>
        <family val="1"/>
      </rPr>
      <t>21</t>
    </r>
  </si>
  <si>
    <r>
      <rPr>
        <sz val="14"/>
        <rFont val="標楷體"/>
        <family val="4"/>
        <charset val="136"/>
      </rPr>
      <t>徐富癸</t>
    </r>
  </si>
  <si>
    <r>
      <rPr>
        <sz val="14"/>
        <rFont val="標楷體"/>
        <family val="4"/>
        <charset val="136"/>
      </rPr>
      <t>「基礎設施監理計畫」編列</t>
    </r>
    <r>
      <rPr>
        <sz val="14"/>
        <rFont val="Times New Roman"/>
        <family val="1"/>
      </rPr>
      <t>2</t>
    </r>
    <r>
      <rPr>
        <sz val="14"/>
        <rFont val="標楷體"/>
        <family val="4"/>
        <charset val="136"/>
      </rPr>
      <t>億</t>
    </r>
    <r>
      <rPr>
        <sz val="14"/>
        <rFont val="Times New Roman"/>
        <family val="1"/>
      </rPr>
      <t>8,309</t>
    </r>
    <r>
      <rPr>
        <sz val="14"/>
        <rFont val="標楷體"/>
        <family val="4"/>
        <charset val="136"/>
      </rPr>
      <t>萬</t>
    </r>
    <r>
      <rPr>
        <sz val="14"/>
        <rFont val="Times New Roman"/>
        <family val="1"/>
      </rPr>
      <t>6</t>
    </r>
    <r>
      <rPr>
        <sz val="14"/>
        <rFont val="標楷體"/>
        <family val="4"/>
        <charset val="136"/>
      </rPr>
      <t>千元，惟對偏鄉通信基礎設施建設之實際效益、推動進度及具體改善情形未見充分說明，爰凍結預算</t>
    </r>
    <r>
      <rPr>
        <sz val="14"/>
        <rFont val="Times New Roman"/>
        <family val="1"/>
      </rPr>
      <t>10%</t>
    </r>
    <r>
      <rPr>
        <sz val="14"/>
        <rFont val="標楷體"/>
        <family val="4"/>
        <charset val="136"/>
      </rPr>
      <t>，俟通傳會提出書面報告後，始得動支。</t>
    </r>
    <phoneticPr fontId="32" type="noConversion"/>
  </si>
  <si>
    <r>
      <rPr>
        <sz val="14"/>
        <rFont val="標楷體"/>
        <family val="4"/>
        <charset val="136"/>
      </rPr>
      <t>委保</t>
    </r>
    <r>
      <rPr>
        <sz val="14"/>
        <rFont val="Times New Roman"/>
        <family val="1"/>
      </rPr>
      <t>22</t>
    </r>
  </si>
  <si>
    <r>
      <rPr>
        <sz val="14"/>
        <rFont val="標楷體"/>
        <family val="4"/>
        <charset val="136"/>
      </rPr>
      <t>「基礎設施監理計畫」編列</t>
    </r>
    <r>
      <rPr>
        <sz val="14"/>
        <rFont val="Times New Roman"/>
        <family val="1"/>
      </rPr>
      <t>2</t>
    </r>
    <r>
      <rPr>
        <sz val="14"/>
        <rFont val="標楷體"/>
        <family val="4"/>
        <charset val="136"/>
      </rPr>
      <t>億</t>
    </r>
    <r>
      <rPr>
        <sz val="14"/>
        <rFont val="Times New Roman"/>
        <family val="1"/>
      </rPr>
      <t>8,309</t>
    </r>
    <r>
      <rPr>
        <sz val="14"/>
        <rFont val="標楷體"/>
        <family val="4"/>
        <charset val="136"/>
      </rPr>
      <t>萬</t>
    </r>
    <r>
      <rPr>
        <sz val="14"/>
        <rFont val="Times New Roman"/>
        <family val="1"/>
      </rPr>
      <t>6</t>
    </r>
    <r>
      <rPr>
        <sz val="14"/>
        <rFont val="標楷體"/>
        <family val="4"/>
        <charset val="136"/>
      </rPr>
      <t>千元，凍結</t>
    </r>
    <r>
      <rPr>
        <sz val="14"/>
        <rFont val="Times New Roman"/>
        <family val="1"/>
      </rPr>
      <t>1,000</t>
    </r>
    <r>
      <rPr>
        <sz val="14"/>
        <rFont val="標楷體"/>
        <family val="4"/>
        <charset val="136"/>
      </rPr>
      <t>萬元，待通傳會於</t>
    </r>
    <r>
      <rPr>
        <sz val="14"/>
        <rFont val="Times New Roman"/>
        <family val="1"/>
      </rPr>
      <t>1</t>
    </r>
    <r>
      <rPr>
        <sz val="14"/>
        <rFont val="標楷體"/>
        <family val="4"/>
        <charset val="136"/>
      </rPr>
      <t>個月內，就如何協調公務機關釋出公有資源配置基地台提出書面報告後，始得動支。</t>
    </r>
    <phoneticPr fontId="32" type="noConversion"/>
  </si>
  <si>
    <r>
      <rPr>
        <sz val="14"/>
        <rFont val="標楷體"/>
        <family val="4"/>
        <charset val="136"/>
      </rPr>
      <t>委保</t>
    </r>
    <r>
      <rPr>
        <sz val="14"/>
        <rFont val="Times New Roman"/>
        <family val="1"/>
      </rPr>
      <t>23</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</si>
  <si>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千元，減列</t>
    </r>
    <r>
      <rPr>
        <sz val="14"/>
        <rFont val="Times New Roman"/>
        <family val="1"/>
      </rPr>
      <t>120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個月內向立法院交通委員會提出專案報告後並經同意後，始得動支。</t>
    </r>
    <phoneticPr fontId="32" type="noConversion"/>
  </si>
  <si>
    <r>
      <rPr>
        <b/>
        <sz val="14"/>
        <rFont val="標楷體"/>
        <family val="4"/>
        <charset val="136"/>
      </rPr>
      <t>一、建請免予減列及凍結，並修正提案文字為「要求國家通訊傳播委員會於</t>
    </r>
    <r>
      <rPr>
        <b/>
        <sz val="14"/>
        <rFont val="Times New Roman"/>
        <family val="1"/>
      </rPr>
      <t>1</t>
    </r>
    <r>
      <rPr>
        <b/>
        <sz val="14"/>
        <rFont val="標楷體"/>
        <family val="4"/>
        <charset val="136"/>
      </rPr>
      <t>個月內提出書面報告」。</t>
    </r>
    <r>
      <rPr>
        <sz val="14"/>
        <rFont val="Times New Roman"/>
        <family val="1"/>
      </rPr>
      <t xml:space="preserve">
</t>
    </r>
    <r>
      <rPr>
        <sz val="14"/>
        <rFont val="標楷體"/>
        <family val="4"/>
        <charset val="136"/>
      </rPr>
      <t>二、通傳會積極打擊電信詐欺，並取得成果，統計至</t>
    </r>
    <r>
      <rPr>
        <sz val="14"/>
        <rFont val="Times New Roman"/>
        <family val="1"/>
      </rPr>
      <t>114</t>
    </r>
    <r>
      <rPr>
        <sz val="14"/>
        <rFont val="標楷體"/>
        <family val="4"/>
        <charset val="136"/>
      </rPr>
      <t>年</t>
    </r>
    <r>
      <rPr>
        <sz val="14"/>
        <rFont val="Times New Roman"/>
        <family val="1"/>
      </rPr>
      <t>3</t>
    </r>
    <r>
      <rPr>
        <sz val="14"/>
        <rFont val="標楷體"/>
        <family val="4"/>
        <charset val="136"/>
      </rPr>
      <t>月，督導電信事業累計攔阻境外涉詐來話</t>
    </r>
    <r>
      <rPr>
        <sz val="14"/>
        <rFont val="Times New Roman"/>
        <family val="1"/>
      </rPr>
      <t>4,567</t>
    </r>
    <r>
      <rPr>
        <sz val="14"/>
        <rFont val="標楷體"/>
        <family val="4"/>
        <charset val="136"/>
      </rPr>
      <t>萬通、停止人頭門號</t>
    </r>
    <r>
      <rPr>
        <sz val="14"/>
        <rFont val="Times New Roman"/>
        <family val="1"/>
      </rPr>
      <t>12,202</t>
    </r>
    <r>
      <rPr>
        <sz val="14"/>
        <rFont val="標楷體"/>
        <family val="4"/>
        <charset val="136"/>
      </rPr>
      <t>門、拒絕申辦用戶號碼未符合</t>
    </r>
    <r>
      <rPr>
        <sz val="14"/>
        <rFont val="Times New Roman"/>
        <family val="1"/>
      </rPr>
      <t>KYC</t>
    </r>
    <r>
      <rPr>
        <sz val="14"/>
        <rFont val="標楷體"/>
        <family val="4"/>
        <charset val="136"/>
      </rPr>
      <t>之企業客戶</t>
    </r>
    <r>
      <rPr>
        <sz val="14"/>
        <rFont val="Times New Roman"/>
        <family val="1"/>
      </rPr>
      <t>199</t>
    </r>
    <r>
      <rPr>
        <sz val="14"/>
        <rFont val="標楷體"/>
        <family val="4"/>
        <charset val="136"/>
      </rPr>
      <t>家</t>
    </r>
    <r>
      <rPr>
        <sz val="14"/>
        <rFont val="Times New Roman"/>
        <family val="1"/>
      </rPr>
      <t>(</t>
    </r>
    <r>
      <rPr>
        <sz val="14"/>
        <rFont val="標楷體"/>
        <family val="4"/>
        <charset val="136"/>
      </rPr>
      <t>約</t>
    </r>
    <r>
      <rPr>
        <sz val="14"/>
        <rFont val="Times New Roman"/>
        <family val="1"/>
      </rPr>
      <t>3.1</t>
    </r>
    <r>
      <rPr>
        <sz val="14"/>
        <rFont val="標楷體"/>
        <family val="4"/>
        <charset val="136"/>
      </rPr>
      <t>萬餘門號</t>
    </r>
    <r>
      <rPr>
        <sz val="14"/>
        <rFont val="Times New Roman"/>
        <family val="1"/>
      </rPr>
      <t>)</t>
    </r>
    <r>
      <rPr>
        <sz val="14"/>
        <rFont val="標楷體"/>
        <family val="4"/>
        <charset val="136"/>
      </rPr>
      <t>、拒絕非本國籍人士新申辦約</t>
    </r>
    <r>
      <rPr>
        <sz val="14"/>
        <rFont val="Times New Roman"/>
        <family val="1"/>
      </rPr>
      <t>9.7</t>
    </r>
    <r>
      <rPr>
        <sz val="14"/>
        <rFont val="標楷體"/>
        <family val="4"/>
        <charset val="136"/>
      </rPr>
      <t>萬門號、攔阻</t>
    </r>
    <r>
      <rPr>
        <sz val="14"/>
        <rFont val="Times New Roman"/>
        <family val="1"/>
      </rPr>
      <t>4,695</t>
    </r>
    <r>
      <rPr>
        <sz val="14"/>
        <rFont val="標楷體"/>
        <family val="4"/>
        <charset val="136"/>
      </rPr>
      <t>萬則商業簡訊及停止解析涉詐之網域及網址</t>
    </r>
    <r>
      <rPr>
        <sz val="14"/>
        <rFont val="Times New Roman"/>
        <family val="1"/>
      </rPr>
      <t>156,454</t>
    </r>
    <r>
      <rPr>
        <sz val="14"/>
        <rFont val="標楷體"/>
        <family val="4"/>
        <charset val="136"/>
      </rPr>
      <t>件，促使電信詐欺大量減少，並未有打詐成效不彰之情事。
三、本年截至</t>
    </r>
    <r>
      <rPr>
        <sz val="14"/>
        <rFont val="Times New Roman"/>
        <family val="1"/>
      </rPr>
      <t>4</t>
    </r>
    <r>
      <rPr>
        <sz val="14"/>
        <rFont val="標楷體"/>
        <family val="4"/>
        <charset val="136"/>
      </rPr>
      <t>月底執行數</t>
    </r>
    <r>
      <rPr>
        <sz val="14"/>
        <rFont val="Times New Roman"/>
        <family val="1"/>
      </rPr>
      <t>334</t>
    </r>
    <r>
      <rPr>
        <sz val="14"/>
        <rFont val="標楷體"/>
        <family val="4"/>
        <charset val="136"/>
      </rPr>
      <t>千元，預估尚須執行</t>
    </r>
    <r>
      <rPr>
        <sz val="14"/>
        <rFont val="Times New Roman"/>
        <family val="1"/>
      </rPr>
      <t>1,652</t>
    </r>
    <r>
      <rPr>
        <sz val="14"/>
        <rFont val="標楷體"/>
        <family val="4"/>
        <charset val="136"/>
      </rPr>
      <t>千元，全年共需</t>
    </r>
    <r>
      <rPr>
        <sz val="14"/>
        <rFont val="Times New Roman"/>
        <family val="1"/>
      </rPr>
      <t>1,986</t>
    </r>
    <r>
      <rPr>
        <sz val="14"/>
        <rFont val="標楷體"/>
        <family val="4"/>
        <charset val="136"/>
      </rPr>
      <t xml:space="preserve">千元。
</t>
    </r>
    <phoneticPr fontId="32" type="noConversion"/>
  </si>
  <si>
    <r>
      <rPr>
        <sz val="14"/>
        <rFont val="標楷體"/>
        <family val="4"/>
        <charset val="136"/>
      </rPr>
      <t>委保</t>
    </r>
    <r>
      <rPr>
        <sz val="14"/>
        <rFont val="Times New Roman"/>
        <family val="1"/>
      </rPr>
      <t>24</t>
    </r>
  </si>
  <si>
    <r>
      <rPr>
        <sz val="14"/>
        <rFont val="標楷體"/>
        <family val="4"/>
        <charset val="136"/>
      </rPr>
      <t>黃健豪</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</si>
  <si>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千元，凍結</t>
    </r>
    <r>
      <rPr>
        <sz val="14"/>
        <rFont val="Times New Roman"/>
        <family val="1"/>
      </rPr>
      <t>100</t>
    </r>
    <r>
      <rPr>
        <sz val="14"/>
        <rFont val="標楷體"/>
        <family val="4"/>
        <charset val="136"/>
      </rPr>
      <t>萬元，俟通傳會於</t>
    </r>
    <r>
      <rPr>
        <sz val="14"/>
        <rFont val="Times New Roman"/>
        <family val="1"/>
      </rPr>
      <t>3</t>
    </r>
    <r>
      <rPr>
        <sz val="14"/>
        <rFont val="標楷體"/>
        <family val="4"/>
        <charset val="136"/>
      </rPr>
      <t>個月內向立法院交通委員會提出書面報告後，始得動支。</t>
    </r>
    <phoneticPr fontId="32" type="noConversion"/>
  </si>
  <si>
    <r>
      <rPr>
        <b/>
        <sz val="14"/>
        <rFont val="標楷體"/>
        <family val="4"/>
        <charset val="136"/>
      </rPr>
      <t>一、建請免予凍結，並修正提案文字為「要求國家通訊傳播委員會於</t>
    </r>
    <r>
      <rPr>
        <b/>
        <sz val="14"/>
        <rFont val="Times New Roman"/>
        <family val="1"/>
      </rPr>
      <t>1</t>
    </r>
    <r>
      <rPr>
        <b/>
        <sz val="14"/>
        <rFont val="標楷體"/>
        <family val="4"/>
        <charset val="136"/>
      </rPr>
      <t>個月內提出書面報告」。</t>
    </r>
    <r>
      <rPr>
        <sz val="14"/>
        <rFont val="Times New Roman"/>
        <family val="1"/>
      </rPr>
      <t xml:space="preserve">
</t>
    </r>
    <r>
      <rPr>
        <sz val="14"/>
        <rFont val="標楷體"/>
        <family val="4"/>
        <charset val="136"/>
      </rPr>
      <t>二、通傳會積極打擊電信詐欺，並取得成果，統計至</t>
    </r>
    <r>
      <rPr>
        <sz val="14"/>
        <rFont val="Times New Roman"/>
        <family val="1"/>
      </rPr>
      <t>114</t>
    </r>
    <r>
      <rPr>
        <sz val="14"/>
        <rFont val="標楷體"/>
        <family val="4"/>
        <charset val="136"/>
      </rPr>
      <t>年</t>
    </r>
    <r>
      <rPr>
        <sz val="14"/>
        <rFont val="Times New Roman"/>
        <family val="1"/>
      </rPr>
      <t>3</t>
    </r>
    <r>
      <rPr>
        <sz val="14"/>
        <rFont val="標楷體"/>
        <family val="4"/>
        <charset val="136"/>
      </rPr>
      <t>月，督導電信事業累計攔阻境外涉詐來話</t>
    </r>
    <r>
      <rPr>
        <sz val="14"/>
        <rFont val="Times New Roman"/>
        <family val="1"/>
      </rPr>
      <t>4,567</t>
    </r>
    <r>
      <rPr>
        <sz val="14"/>
        <rFont val="標楷體"/>
        <family val="4"/>
        <charset val="136"/>
      </rPr>
      <t>萬通、停止人頭門號</t>
    </r>
    <r>
      <rPr>
        <sz val="14"/>
        <rFont val="Times New Roman"/>
        <family val="1"/>
      </rPr>
      <t>12,202</t>
    </r>
    <r>
      <rPr>
        <sz val="14"/>
        <rFont val="標楷體"/>
        <family val="4"/>
        <charset val="136"/>
      </rPr>
      <t>門、拒絕申辦用戶號碼未符合</t>
    </r>
    <r>
      <rPr>
        <sz val="14"/>
        <rFont val="Times New Roman"/>
        <family val="1"/>
      </rPr>
      <t>KYC</t>
    </r>
    <r>
      <rPr>
        <sz val="14"/>
        <rFont val="標楷體"/>
        <family val="4"/>
        <charset val="136"/>
      </rPr>
      <t>之企業客戶</t>
    </r>
    <r>
      <rPr>
        <sz val="14"/>
        <rFont val="Times New Roman"/>
        <family val="1"/>
      </rPr>
      <t>199</t>
    </r>
    <r>
      <rPr>
        <sz val="14"/>
        <rFont val="標楷體"/>
        <family val="4"/>
        <charset val="136"/>
      </rPr>
      <t>家</t>
    </r>
    <r>
      <rPr>
        <sz val="14"/>
        <rFont val="Times New Roman"/>
        <family val="1"/>
      </rPr>
      <t>(</t>
    </r>
    <r>
      <rPr>
        <sz val="14"/>
        <rFont val="標楷體"/>
        <family val="4"/>
        <charset val="136"/>
      </rPr>
      <t>約</t>
    </r>
    <r>
      <rPr>
        <sz val="14"/>
        <rFont val="Times New Roman"/>
        <family val="1"/>
      </rPr>
      <t>3.1</t>
    </r>
    <r>
      <rPr>
        <sz val="14"/>
        <rFont val="標楷體"/>
        <family val="4"/>
        <charset val="136"/>
      </rPr>
      <t>萬餘門號</t>
    </r>
    <r>
      <rPr>
        <sz val="14"/>
        <rFont val="Times New Roman"/>
        <family val="1"/>
      </rPr>
      <t>)</t>
    </r>
    <r>
      <rPr>
        <sz val="14"/>
        <rFont val="標楷體"/>
        <family val="4"/>
        <charset val="136"/>
      </rPr>
      <t>、拒絕非本國籍人士新申辦約</t>
    </r>
    <r>
      <rPr>
        <sz val="14"/>
        <rFont val="Times New Roman"/>
        <family val="1"/>
      </rPr>
      <t>9.7</t>
    </r>
    <r>
      <rPr>
        <sz val="14"/>
        <rFont val="標楷體"/>
        <family val="4"/>
        <charset val="136"/>
      </rPr>
      <t>萬門號、攔阻</t>
    </r>
    <r>
      <rPr>
        <sz val="14"/>
        <rFont val="Times New Roman"/>
        <family val="1"/>
      </rPr>
      <t>4,695</t>
    </r>
    <r>
      <rPr>
        <sz val="14"/>
        <rFont val="標楷體"/>
        <family val="4"/>
        <charset val="136"/>
      </rPr>
      <t>萬則商業簡訊及停止解析涉詐之網域及網址</t>
    </r>
    <r>
      <rPr>
        <sz val="14"/>
        <rFont val="Times New Roman"/>
        <family val="1"/>
      </rPr>
      <t>156,454</t>
    </r>
    <r>
      <rPr>
        <sz val="14"/>
        <rFont val="標楷體"/>
        <family val="4"/>
        <charset val="136"/>
      </rPr>
      <t>件，促使電信詐欺大量減少，並未有打詐成效不彰之情事。
三、本年截至</t>
    </r>
    <r>
      <rPr>
        <sz val="14"/>
        <rFont val="Times New Roman"/>
        <family val="1"/>
      </rPr>
      <t>4</t>
    </r>
    <r>
      <rPr>
        <sz val="14"/>
        <rFont val="標楷體"/>
        <family val="4"/>
        <charset val="136"/>
      </rPr>
      <t>月底執行數</t>
    </r>
    <r>
      <rPr>
        <sz val="14"/>
        <rFont val="Times New Roman"/>
        <family val="1"/>
      </rPr>
      <t>334</t>
    </r>
    <r>
      <rPr>
        <sz val="14"/>
        <rFont val="標楷體"/>
        <family val="4"/>
        <charset val="136"/>
      </rPr>
      <t>千元，預估尚須執行</t>
    </r>
    <r>
      <rPr>
        <sz val="14"/>
        <rFont val="Times New Roman"/>
        <family val="1"/>
      </rPr>
      <t>1,652</t>
    </r>
    <r>
      <rPr>
        <sz val="14"/>
        <rFont val="標楷體"/>
        <family val="4"/>
        <charset val="136"/>
      </rPr>
      <t>千元，全年共需</t>
    </r>
    <r>
      <rPr>
        <sz val="14"/>
        <rFont val="Times New Roman"/>
        <family val="1"/>
      </rPr>
      <t>1,986</t>
    </r>
    <r>
      <rPr>
        <sz val="14"/>
        <rFont val="標楷體"/>
        <family val="4"/>
        <charset val="136"/>
      </rPr>
      <t>千元。</t>
    </r>
    <phoneticPr fontId="32" type="noConversion"/>
  </si>
  <si>
    <r>
      <rPr>
        <sz val="14"/>
        <rFont val="標楷體"/>
        <family val="4"/>
        <charset val="136"/>
      </rPr>
      <t>委保</t>
    </r>
    <r>
      <rPr>
        <sz val="14"/>
        <rFont val="Times New Roman"/>
        <family val="1"/>
      </rPr>
      <t>25</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</si>
  <si>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千元，凍結</t>
    </r>
    <r>
      <rPr>
        <sz val="14"/>
        <rFont val="Times New Roman"/>
        <family val="1"/>
      </rPr>
      <t>25%</t>
    </r>
    <r>
      <rPr>
        <sz val="14"/>
        <rFont val="標楷體"/>
        <family val="4"/>
        <charset val="136"/>
      </rPr>
      <t>，俟通傳會完成執行進度報告及成效檢討，並提出書面報告後，始得動支。</t>
    </r>
    <phoneticPr fontId="32" type="noConversion"/>
  </si>
  <si>
    <r>
      <rPr>
        <sz val="14"/>
        <rFont val="標楷體"/>
        <family val="4"/>
        <charset val="136"/>
      </rPr>
      <t>委保</t>
    </r>
    <r>
      <rPr>
        <sz val="14"/>
        <rFont val="Times New Roman"/>
        <family val="1"/>
      </rPr>
      <t>26</t>
    </r>
  </si>
  <si>
    <r>
      <rPr>
        <sz val="14"/>
        <rFont val="標楷體"/>
        <family val="4"/>
        <charset val="136"/>
      </rPr>
      <t>許智傑</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</si>
  <si>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千元，凍結</t>
    </r>
    <r>
      <rPr>
        <sz val="14"/>
        <rFont val="Times New Roman"/>
        <family val="1"/>
      </rPr>
      <t>40</t>
    </r>
    <r>
      <rPr>
        <sz val="14"/>
        <rFont val="標楷體"/>
        <family val="4"/>
        <charset val="136"/>
      </rPr>
      <t>萬元，請通傳會針對計畫辦理工作項目提出規劃管理及評估效益，俟通傳會向立法院交通委員會提出書面報告後，始得動支。</t>
    </r>
    <phoneticPr fontId="32" type="noConversion"/>
  </si>
  <si>
    <r>
      <rPr>
        <sz val="14"/>
        <rFont val="標楷體"/>
        <family val="4"/>
        <charset val="136"/>
      </rPr>
      <t>委保</t>
    </r>
    <r>
      <rPr>
        <sz val="14"/>
        <rFont val="Times New Roman"/>
        <family val="1"/>
      </rPr>
      <t>27</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</si>
  <si>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千元，凍結</t>
    </r>
    <r>
      <rPr>
        <sz val="14"/>
        <rFont val="Times New Roman"/>
        <family val="1"/>
      </rPr>
      <t>20%</t>
    </r>
    <r>
      <rPr>
        <sz val="14"/>
        <rFont val="標楷體"/>
        <family val="4"/>
        <charset val="136"/>
      </rPr>
      <t>，待通傳會針對如何有效遏止電信詐欺，向交通委員會提出專案報告，經同意後，始得動支。</t>
    </r>
    <phoneticPr fontId="32" type="noConversion"/>
  </si>
  <si>
    <r>
      <rPr>
        <sz val="14"/>
        <rFont val="標楷體"/>
        <family val="4"/>
        <charset val="136"/>
      </rPr>
      <t>委保</t>
    </r>
    <r>
      <rPr>
        <sz val="14"/>
        <rFont val="Times New Roman"/>
        <family val="1"/>
      </rPr>
      <t>28</t>
    </r>
  </si>
  <si>
    <r>
      <rPr>
        <sz val="14"/>
        <rFont val="標楷體"/>
        <family val="4"/>
        <charset val="136"/>
      </rPr>
      <t>游顥</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</si>
  <si>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一般服務費」編列</t>
    </r>
    <r>
      <rPr>
        <sz val="14"/>
        <rFont val="Times New Roman"/>
        <family val="1"/>
      </rPr>
      <t>198</t>
    </r>
    <r>
      <rPr>
        <sz val="14"/>
        <rFont val="標楷體"/>
        <family val="4"/>
        <charset val="136"/>
      </rPr>
      <t>萬</t>
    </r>
    <r>
      <rPr>
        <sz val="14"/>
        <rFont val="Times New Roman"/>
        <family val="1"/>
      </rPr>
      <t>6</t>
    </r>
    <r>
      <rPr>
        <sz val="14"/>
        <rFont val="標楷體"/>
        <family val="4"/>
        <charset val="136"/>
      </rPr>
      <t>千元，凍結</t>
    </r>
    <r>
      <rPr>
        <sz val="14"/>
        <rFont val="Times New Roman"/>
        <family val="1"/>
      </rPr>
      <t>10%</t>
    </r>
    <r>
      <rPr>
        <sz val="14"/>
        <rFont val="標楷體"/>
        <family val="4"/>
        <charset val="136"/>
      </rPr>
      <t>，待通傳會於一個月內向交通委員會提出專案報告，經同意後，始得動支。</t>
    </r>
    <phoneticPr fontId="32" type="noConversion"/>
  </si>
  <si>
    <r>
      <rPr>
        <b/>
        <sz val="14"/>
        <rFont val="標楷體"/>
        <family val="4"/>
        <charset val="136"/>
      </rPr>
      <t>一、建請免予凍結，並修正提案文字為「要求國家通訊傳播委員會於</t>
    </r>
    <r>
      <rPr>
        <b/>
        <sz val="14"/>
        <rFont val="Times New Roman"/>
        <family val="1"/>
      </rPr>
      <t>1</t>
    </r>
    <r>
      <rPr>
        <b/>
        <sz val="14"/>
        <rFont val="標楷體"/>
        <family val="4"/>
        <charset val="136"/>
      </rPr>
      <t>個月內向交通委員會提交書面報告」。</t>
    </r>
    <r>
      <rPr>
        <sz val="14"/>
        <rFont val="Times New Roman"/>
        <family val="1"/>
      </rPr>
      <t xml:space="preserve">
</t>
    </r>
    <r>
      <rPr>
        <sz val="14"/>
        <rFont val="標楷體"/>
        <family val="4"/>
        <charset val="136"/>
      </rPr>
      <t>二、通傳會已配合打詐專法實施，訂定相關授權法規</t>
    </r>
    <r>
      <rPr>
        <sz val="14"/>
        <rFont val="Times New Roman"/>
        <family val="1"/>
      </rPr>
      <t>(</t>
    </r>
    <r>
      <rPr>
        <sz val="14"/>
        <rFont val="標楷體"/>
        <family val="4"/>
        <charset val="136"/>
      </rPr>
      <t>電信事業應用指定資料庫輔助核對作業管理辦法、電信事業提供電信服務風險管理機制指引</t>
    </r>
    <r>
      <rPr>
        <sz val="14"/>
        <rFont val="Times New Roman"/>
        <family val="1"/>
      </rPr>
      <t>)</t>
    </r>
    <r>
      <rPr>
        <sz val="14"/>
        <rFont val="標楷體"/>
        <family val="4"/>
        <charset val="136"/>
      </rPr>
      <t>，並督促電信事業據以實施諸多精進措施</t>
    </r>
    <r>
      <rPr>
        <sz val="14"/>
        <rFont val="Times New Roman"/>
        <family val="1"/>
      </rPr>
      <t>(</t>
    </r>
    <r>
      <rPr>
        <sz val="14"/>
        <rFont val="標楷體"/>
        <family val="4"/>
        <charset val="136"/>
      </rPr>
      <t>如透過資料庫查詢之聯防、高風險用戶管理、防範不當利用境外漫遊門號。
三、本年截至</t>
    </r>
    <r>
      <rPr>
        <sz val="14"/>
        <rFont val="Times New Roman"/>
        <family val="1"/>
      </rPr>
      <t>4</t>
    </r>
    <r>
      <rPr>
        <sz val="14"/>
        <rFont val="標楷體"/>
        <family val="4"/>
        <charset val="136"/>
      </rPr>
      <t>月底執行數</t>
    </r>
    <r>
      <rPr>
        <sz val="14"/>
        <rFont val="Times New Roman"/>
        <family val="1"/>
      </rPr>
      <t>334</t>
    </r>
    <r>
      <rPr>
        <sz val="14"/>
        <rFont val="標楷體"/>
        <family val="4"/>
        <charset val="136"/>
      </rPr>
      <t>千元，預估尚須執行</t>
    </r>
    <r>
      <rPr>
        <sz val="14"/>
        <rFont val="Times New Roman"/>
        <family val="1"/>
      </rPr>
      <t>1,652</t>
    </r>
    <r>
      <rPr>
        <sz val="14"/>
        <rFont val="標楷體"/>
        <family val="4"/>
        <charset val="136"/>
      </rPr>
      <t>千元，全年共需</t>
    </r>
    <r>
      <rPr>
        <sz val="14"/>
        <rFont val="Times New Roman"/>
        <family val="1"/>
      </rPr>
      <t>1,986</t>
    </r>
    <r>
      <rPr>
        <sz val="14"/>
        <rFont val="標楷體"/>
        <family val="4"/>
        <charset val="136"/>
      </rPr>
      <t>千元。</t>
    </r>
    <phoneticPr fontId="32" type="noConversion"/>
  </si>
  <si>
    <r>
      <rPr>
        <sz val="14"/>
        <rFont val="標楷體"/>
        <family val="4"/>
        <charset val="136"/>
      </rPr>
      <t>委保</t>
    </r>
    <r>
      <rPr>
        <sz val="14"/>
        <rFont val="Times New Roman"/>
        <family val="1"/>
      </rPr>
      <t>29</t>
    </r>
  </si>
  <si>
    <r>
      <rPr>
        <sz val="14"/>
        <rFont val="標楷體"/>
        <family val="4"/>
        <charset val="136"/>
      </rPr>
      <t>陳雪生</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</si>
  <si>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專業服務費」編列</t>
    </r>
    <r>
      <rPr>
        <sz val="14"/>
        <rFont val="Times New Roman"/>
        <family val="1"/>
      </rPr>
      <t>1</t>
    </r>
    <r>
      <rPr>
        <sz val="14"/>
        <rFont val="標楷體"/>
        <family val="4"/>
        <charset val="136"/>
      </rPr>
      <t>億</t>
    </r>
    <r>
      <rPr>
        <sz val="14"/>
        <rFont val="Times New Roman"/>
        <family val="1"/>
      </rPr>
      <t>6,025</t>
    </r>
    <r>
      <rPr>
        <sz val="14"/>
        <rFont val="標楷體"/>
        <family val="4"/>
        <charset val="136"/>
      </rPr>
      <t>萬</t>
    </r>
    <r>
      <rPr>
        <sz val="14"/>
        <rFont val="Times New Roman"/>
        <family val="1"/>
      </rPr>
      <t>1</t>
    </r>
    <r>
      <rPr>
        <sz val="14"/>
        <rFont val="標楷體"/>
        <family val="4"/>
        <charset val="136"/>
      </rPr>
      <t>千元，減列「盤點亞太經濟合作</t>
    </r>
    <r>
      <rPr>
        <sz val="14"/>
        <rFont val="Times New Roman"/>
        <family val="1"/>
      </rPr>
      <t>(APEC)</t>
    </r>
    <r>
      <rPr>
        <sz val="14"/>
        <rFont val="標楷體"/>
        <family val="4"/>
        <charset val="136"/>
      </rPr>
      <t>會議會員經濟體推動符合性評鑑程序現況、遭遇困難及研提深化合作方案委託研究」</t>
    </r>
    <r>
      <rPr>
        <sz val="14"/>
        <rFont val="Times New Roman"/>
        <family val="1"/>
      </rPr>
      <t>349</t>
    </r>
    <r>
      <rPr>
        <sz val="14"/>
        <rFont val="標楷體"/>
        <family val="4"/>
        <charset val="136"/>
      </rPr>
      <t>萬元。</t>
    </r>
    <phoneticPr fontId="32" type="noConversion"/>
  </si>
  <si>
    <r>
      <rPr>
        <b/>
        <sz val="14"/>
        <rFont val="標楷體"/>
        <family val="4"/>
        <charset val="136"/>
      </rPr>
      <t>一、建請免予減列，並修正提案文字為「要求國家通訊傳播委員會於</t>
    </r>
    <r>
      <rPr>
        <b/>
        <sz val="14"/>
        <rFont val="Times New Roman"/>
        <family val="1"/>
      </rPr>
      <t>2</t>
    </r>
    <r>
      <rPr>
        <b/>
        <sz val="14"/>
        <rFont val="標楷體"/>
        <family val="4"/>
        <charset val="136"/>
      </rPr>
      <t>個月內向本院交通委員會提出書面報告」。</t>
    </r>
    <r>
      <rPr>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36,845</t>
    </r>
    <r>
      <rPr>
        <sz val="14"/>
        <rFont val="標楷體"/>
        <family val="4"/>
        <charset val="136"/>
      </rPr>
      <t>千元，預估尚須執行</t>
    </r>
    <r>
      <rPr>
        <sz val="14"/>
        <rFont val="Times New Roman"/>
        <family val="1"/>
      </rPr>
      <t>123,406</t>
    </r>
    <r>
      <rPr>
        <sz val="14"/>
        <rFont val="標楷體"/>
        <family val="4"/>
        <charset val="136"/>
      </rPr>
      <t>千元，全年共需</t>
    </r>
    <r>
      <rPr>
        <sz val="14"/>
        <rFont val="Times New Roman"/>
        <family val="1"/>
      </rPr>
      <t>160,251</t>
    </r>
    <r>
      <rPr>
        <sz val="14"/>
        <rFont val="標楷體"/>
        <family val="4"/>
        <charset val="136"/>
      </rPr>
      <t>千元。</t>
    </r>
    <phoneticPr fontId="32" type="noConversion"/>
  </si>
  <si>
    <r>
      <rPr>
        <sz val="14"/>
        <rFont val="標楷體"/>
        <family val="4"/>
        <charset val="136"/>
      </rPr>
      <t>委保</t>
    </r>
    <r>
      <rPr>
        <sz val="14"/>
        <rFont val="Times New Roman"/>
        <family val="1"/>
      </rPr>
      <t>30</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</si>
  <si>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專業服務費」編列</t>
    </r>
    <r>
      <rPr>
        <sz val="14"/>
        <rFont val="Times New Roman"/>
        <family val="1"/>
      </rPr>
      <t>1</t>
    </r>
    <r>
      <rPr>
        <sz val="14"/>
        <rFont val="標楷體"/>
        <family val="4"/>
        <charset val="136"/>
      </rPr>
      <t>億</t>
    </r>
    <r>
      <rPr>
        <sz val="14"/>
        <rFont val="Times New Roman"/>
        <family val="1"/>
      </rPr>
      <t>6,025</t>
    </r>
    <r>
      <rPr>
        <sz val="14"/>
        <rFont val="標楷體"/>
        <family val="4"/>
        <charset val="136"/>
      </rPr>
      <t>萬</t>
    </r>
    <r>
      <rPr>
        <sz val="14"/>
        <rFont val="Times New Roman"/>
        <family val="1"/>
      </rPr>
      <t>1</t>
    </r>
    <r>
      <rPr>
        <sz val="14"/>
        <rFont val="標楷體"/>
        <family val="4"/>
        <charset val="136"/>
      </rPr>
      <t>千元，凍結</t>
    </r>
    <r>
      <rPr>
        <sz val="14"/>
        <rFont val="Times New Roman"/>
        <family val="1"/>
      </rPr>
      <t>25%</t>
    </r>
    <r>
      <rPr>
        <sz val="14"/>
        <rFont val="標楷體"/>
        <family val="4"/>
        <charset val="136"/>
      </rPr>
      <t>，俟通傳會補充說明研究目的、內容及預期效益對基金營運助益之具體評估，並提出書面報告後，始得動支。</t>
    </r>
    <phoneticPr fontId="32" type="noConversion"/>
  </si>
  <si>
    <r>
      <rPr>
        <b/>
        <sz val="14"/>
        <rFont val="標楷體"/>
        <family val="4"/>
        <charset val="136"/>
      </rPr>
      <t>一、建請免予凍結，並修正提案文字為「要求國家通訊傳播委員會於</t>
    </r>
    <r>
      <rPr>
        <b/>
        <sz val="14"/>
        <rFont val="Times New Roman"/>
        <family val="1"/>
      </rPr>
      <t>2</t>
    </r>
    <r>
      <rPr>
        <b/>
        <sz val="14"/>
        <rFont val="標楷體"/>
        <family val="4"/>
        <charset val="136"/>
      </rPr>
      <t>個月內向本院交通委員會提出書面報告」。</t>
    </r>
    <r>
      <rPr>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並降低未經審驗合格設備數量。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36,845</t>
    </r>
    <r>
      <rPr>
        <sz val="14"/>
        <rFont val="標楷體"/>
        <family val="4"/>
        <charset val="136"/>
      </rPr>
      <t>千元，預估尚須執行</t>
    </r>
    <r>
      <rPr>
        <sz val="14"/>
        <rFont val="Times New Roman"/>
        <family val="1"/>
      </rPr>
      <t>123,406</t>
    </r>
    <r>
      <rPr>
        <sz val="14"/>
        <rFont val="標楷體"/>
        <family val="4"/>
        <charset val="136"/>
      </rPr>
      <t>千元，全年共需</t>
    </r>
    <r>
      <rPr>
        <sz val="14"/>
        <rFont val="Times New Roman"/>
        <family val="1"/>
      </rPr>
      <t>160,251</t>
    </r>
    <r>
      <rPr>
        <sz val="14"/>
        <rFont val="標楷體"/>
        <family val="4"/>
        <charset val="136"/>
      </rPr>
      <t>千元。</t>
    </r>
    <phoneticPr fontId="32" type="noConversion"/>
  </si>
  <si>
    <r>
      <rPr>
        <sz val="14"/>
        <rFont val="標楷體"/>
        <family val="4"/>
        <charset val="136"/>
      </rPr>
      <t>委保</t>
    </r>
    <r>
      <rPr>
        <sz val="14"/>
        <rFont val="Times New Roman"/>
        <family val="1"/>
      </rPr>
      <t>31</t>
    </r>
  </si>
  <si>
    <r>
      <rPr>
        <sz val="14"/>
        <rFont val="標楷體"/>
        <family val="4"/>
        <charset val="136"/>
      </rPr>
      <t>廖先翔</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</si>
  <si>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專業服務費」編列</t>
    </r>
    <r>
      <rPr>
        <sz val="14"/>
        <rFont val="Times New Roman"/>
        <family val="1"/>
      </rPr>
      <t>1</t>
    </r>
    <r>
      <rPr>
        <sz val="14"/>
        <rFont val="標楷體"/>
        <family val="4"/>
        <charset val="136"/>
      </rPr>
      <t>億</t>
    </r>
    <r>
      <rPr>
        <sz val="14"/>
        <rFont val="Times New Roman"/>
        <family val="1"/>
      </rPr>
      <t>6,025</t>
    </r>
    <r>
      <rPr>
        <sz val="14"/>
        <rFont val="標楷體"/>
        <family val="4"/>
        <charset val="136"/>
      </rPr>
      <t>萬</t>
    </r>
    <r>
      <rPr>
        <sz val="14"/>
        <rFont val="Times New Roman"/>
        <family val="1"/>
      </rPr>
      <t>1</t>
    </r>
    <r>
      <rPr>
        <sz val="14"/>
        <rFont val="標楷體"/>
        <family val="4"/>
        <charset val="136"/>
      </rPr>
      <t>千元，凍結</t>
    </r>
    <r>
      <rPr>
        <sz val="14"/>
        <rFont val="Times New Roman"/>
        <family val="1"/>
      </rPr>
      <t>10%</t>
    </r>
    <r>
      <rPr>
        <sz val="14"/>
        <rFont val="標楷體"/>
        <family val="4"/>
        <charset val="136"/>
      </rPr>
      <t>，俟通傳會於</t>
    </r>
    <r>
      <rPr>
        <sz val="14"/>
        <rFont val="Times New Roman"/>
        <family val="1"/>
      </rPr>
      <t>2</t>
    </r>
    <r>
      <rPr>
        <sz val="14"/>
        <rFont val="標楷體"/>
        <family val="4"/>
        <charset val="136"/>
      </rPr>
      <t>個月內向立法院交通委員會提出專案報告並經同意後始得動支。</t>
    </r>
    <phoneticPr fontId="32" type="noConversion"/>
  </si>
  <si>
    <r>
      <rPr>
        <b/>
        <sz val="14"/>
        <rFont val="標楷體"/>
        <family val="4"/>
        <charset val="136"/>
      </rPr>
      <t>一、建請免予凍結，並修正提案文字為「要求國家通訊傳播委員會於</t>
    </r>
    <r>
      <rPr>
        <b/>
        <sz val="14"/>
        <rFont val="Times New Roman"/>
        <family val="1"/>
      </rPr>
      <t>2</t>
    </r>
    <r>
      <rPr>
        <b/>
        <sz val="14"/>
        <rFont val="標楷體"/>
        <family val="4"/>
        <charset val="136"/>
      </rPr>
      <t>個月內向本院交通委員會提出書面報告」。</t>
    </r>
    <r>
      <rPr>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36,845</t>
    </r>
    <r>
      <rPr>
        <sz val="14"/>
        <rFont val="標楷體"/>
        <family val="4"/>
        <charset val="136"/>
      </rPr>
      <t>千元，預估尚須執行</t>
    </r>
    <r>
      <rPr>
        <sz val="14"/>
        <rFont val="Times New Roman"/>
        <family val="1"/>
      </rPr>
      <t>123,406</t>
    </r>
    <r>
      <rPr>
        <sz val="14"/>
        <rFont val="標楷體"/>
        <family val="4"/>
        <charset val="136"/>
      </rPr>
      <t>千元，全年共需</t>
    </r>
    <r>
      <rPr>
        <sz val="14"/>
        <rFont val="Times New Roman"/>
        <family val="1"/>
      </rPr>
      <t>160,251</t>
    </r>
    <r>
      <rPr>
        <sz val="14"/>
        <rFont val="標楷體"/>
        <family val="4"/>
        <charset val="136"/>
      </rPr>
      <t xml:space="preserve">千元。
</t>
    </r>
    <phoneticPr fontId="32" type="noConversion"/>
  </si>
  <si>
    <r>
      <rPr>
        <sz val="14"/>
        <rFont val="標楷體"/>
        <family val="4"/>
        <charset val="136"/>
      </rPr>
      <t>委保</t>
    </r>
    <r>
      <rPr>
        <sz val="14"/>
        <rFont val="Times New Roman"/>
        <family val="1"/>
      </rPr>
      <t>32</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</si>
  <si>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專業服務費」編列</t>
    </r>
    <r>
      <rPr>
        <sz val="14"/>
        <rFont val="Times New Roman"/>
        <family val="1"/>
      </rPr>
      <t>1</t>
    </r>
    <r>
      <rPr>
        <sz val="14"/>
        <rFont val="標楷體"/>
        <family val="4"/>
        <charset val="136"/>
      </rPr>
      <t>億</t>
    </r>
    <r>
      <rPr>
        <sz val="14"/>
        <rFont val="Times New Roman"/>
        <family val="1"/>
      </rPr>
      <t>6,025</t>
    </r>
    <r>
      <rPr>
        <sz val="14"/>
        <rFont val="標楷體"/>
        <family val="4"/>
        <charset val="136"/>
      </rPr>
      <t>萬</t>
    </r>
    <r>
      <rPr>
        <sz val="14"/>
        <rFont val="Times New Roman"/>
        <family val="1"/>
      </rPr>
      <t>1</t>
    </r>
    <r>
      <rPr>
        <sz val="14"/>
        <rFont val="標楷體"/>
        <family val="4"/>
        <charset val="136"/>
      </rPr>
      <t>千元，凍結</t>
    </r>
    <r>
      <rPr>
        <sz val="14"/>
        <rFont val="Times New Roman"/>
        <family val="1"/>
      </rPr>
      <t>10%</t>
    </r>
    <r>
      <rPr>
        <sz val="14"/>
        <rFont val="標楷體"/>
        <family val="4"/>
        <charset val="136"/>
      </rPr>
      <t>，俟通傳會於三個月內向立法院交通委員會提出書面報告後，始得動支。</t>
    </r>
    <phoneticPr fontId="32" type="noConversion"/>
  </si>
  <si>
    <r>
      <rPr>
        <sz val="14"/>
        <rFont val="標楷體"/>
        <family val="4"/>
        <charset val="136"/>
      </rPr>
      <t>委保</t>
    </r>
    <r>
      <rPr>
        <sz val="14"/>
        <rFont val="Times New Roman"/>
        <family val="1"/>
      </rPr>
      <t>33</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</si>
  <si>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t>
    </r>
    <r>
      <rPr>
        <sz val="14"/>
        <rFont val="Times New Roman"/>
        <family val="1"/>
      </rPr>
      <t>-</t>
    </r>
    <r>
      <rPr>
        <sz val="14"/>
        <rFont val="標楷體"/>
        <family val="4"/>
        <charset val="136"/>
      </rPr>
      <t>盤點亞太經濟合作</t>
    </r>
    <r>
      <rPr>
        <sz val="14"/>
        <rFont val="Times New Roman"/>
        <family val="1"/>
      </rPr>
      <t>(APEC)</t>
    </r>
    <r>
      <rPr>
        <sz val="14"/>
        <rFont val="標楷體"/>
        <family val="4"/>
        <charset val="136"/>
      </rPr>
      <t>會議會員經濟體推動符合性評鑑程序現況、遭遇困難及研提深化合作方案委託研究」編列</t>
    </r>
    <r>
      <rPr>
        <sz val="14"/>
        <rFont val="Times New Roman"/>
        <family val="1"/>
      </rPr>
      <t>349</t>
    </r>
    <r>
      <rPr>
        <sz val="14"/>
        <rFont val="標楷體"/>
        <family val="4"/>
        <charset val="136"/>
      </rPr>
      <t>萬元，研究效益未見成效，爰減列</t>
    </r>
    <r>
      <rPr>
        <sz val="14"/>
        <rFont val="Times New Roman"/>
        <family val="1"/>
      </rPr>
      <t>349</t>
    </r>
    <r>
      <rPr>
        <sz val="14"/>
        <rFont val="標楷體"/>
        <family val="4"/>
        <charset val="136"/>
      </rPr>
      <t>萬元。</t>
    </r>
    <phoneticPr fontId="32" type="noConversion"/>
  </si>
  <si>
    <r>
      <rPr>
        <b/>
        <sz val="14"/>
        <rFont val="標楷體"/>
        <family val="4"/>
        <charset val="136"/>
      </rPr>
      <t>一、建請免予減列，並修正提案文字為「要求國家通訊傳播委員會於</t>
    </r>
    <r>
      <rPr>
        <b/>
        <sz val="14"/>
        <rFont val="Times New Roman"/>
        <family val="1"/>
      </rPr>
      <t>2</t>
    </r>
    <r>
      <rPr>
        <b/>
        <sz val="14"/>
        <rFont val="標楷體"/>
        <family val="4"/>
        <charset val="136"/>
      </rPr>
      <t>個月內向本院交通委員會提出書面報告」。</t>
    </r>
    <r>
      <rPr>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0</t>
    </r>
    <r>
      <rPr>
        <sz val="14"/>
        <rFont val="標楷體"/>
        <family val="4"/>
        <charset val="136"/>
      </rPr>
      <t>元，預估尚須執行</t>
    </r>
    <r>
      <rPr>
        <sz val="14"/>
        <rFont val="Times New Roman"/>
        <family val="1"/>
      </rPr>
      <t>3,490</t>
    </r>
    <r>
      <rPr>
        <sz val="14"/>
        <rFont val="標楷體"/>
        <family val="4"/>
        <charset val="136"/>
      </rPr>
      <t>千元，全年共需</t>
    </r>
    <r>
      <rPr>
        <sz val="14"/>
        <rFont val="Times New Roman"/>
        <family val="1"/>
      </rPr>
      <t>3,490</t>
    </r>
    <r>
      <rPr>
        <sz val="14"/>
        <rFont val="標楷體"/>
        <family val="4"/>
        <charset val="136"/>
      </rPr>
      <t>千元。</t>
    </r>
    <phoneticPr fontId="32" type="noConversion"/>
  </si>
  <si>
    <r>
      <rPr>
        <sz val="14"/>
        <rFont val="標楷體"/>
        <family val="4"/>
        <charset val="136"/>
      </rPr>
      <t>委保</t>
    </r>
    <r>
      <rPr>
        <sz val="14"/>
        <rFont val="Times New Roman"/>
        <family val="1"/>
      </rPr>
      <t>34</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</si>
  <si>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t>
    </r>
    <r>
      <rPr>
        <sz val="14"/>
        <rFont val="Times New Roman"/>
        <family val="1"/>
      </rPr>
      <t>-</t>
    </r>
    <r>
      <rPr>
        <sz val="14"/>
        <rFont val="標楷體"/>
        <family val="4"/>
        <charset val="136"/>
      </rPr>
      <t>盤點亞太經濟合作</t>
    </r>
    <r>
      <rPr>
        <sz val="14"/>
        <rFont val="Times New Roman"/>
        <family val="1"/>
      </rPr>
      <t>(APEC)</t>
    </r>
    <r>
      <rPr>
        <sz val="14"/>
        <rFont val="標楷體"/>
        <family val="4"/>
        <charset val="136"/>
      </rPr>
      <t>會議會員經濟體推動符合性評鑑程序現況、遭遇困難及研提深化合作方案委託研究」編列</t>
    </r>
    <r>
      <rPr>
        <sz val="14"/>
        <rFont val="Times New Roman"/>
        <family val="1"/>
      </rPr>
      <t>349</t>
    </r>
    <r>
      <rPr>
        <sz val="14"/>
        <rFont val="標楷體"/>
        <family val="4"/>
        <charset val="136"/>
      </rPr>
      <t>萬元，成果未顯具體貢獻，爰減列</t>
    </r>
    <r>
      <rPr>
        <sz val="14"/>
        <rFont val="Times New Roman"/>
        <family val="1"/>
      </rPr>
      <t>349</t>
    </r>
    <r>
      <rPr>
        <sz val="14"/>
        <rFont val="標楷體"/>
        <family val="4"/>
        <charset val="136"/>
      </rPr>
      <t>萬元。</t>
    </r>
    <phoneticPr fontId="32" type="noConversion"/>
  </si>
  <si>
    <r>
      <rPr>
        <b/>
        <sz val="14"/>
        <rFont val="標楷體"/>
        <family val="4"/>
        <charset val="136"/>
      </rPr>
      <t>一、建請免予凍結，並修正提案文字為「要求國家通訊傳播委員會於</t>
    </r>
    <r>
      <rPr>
        <b/>
        <sz val="14"/>
        <rFont val="Times New Roman"/>
        <family val="1"/>
      </rPr>
      <t>2</t>
    </r>
    <r>
      <rPr>
        <b/>
        <sz val="14"/>
        <rFont val="標楷體"/>
        <family val="4"/>
        <charset val="136"/>
      </rPr>
      <t>個月內向本院交通委員會提出書面報告」。</t>
    </r>
    <r>
      <rPr>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0</t>
    </r>
    <r>
      <rPr>
        <sz val="14"/>
        <rFont val="標楷體"/>
        <family val="4"/>
        <charset val="136"/>
      </rPr>
      <t>元，預估尚須執行</t>
    </r>
    <r>
      <rPr>
        <sz val="14"/>
        <rFont val="Times New Roman"/>
        <family val="1"/>
      </rPr>
      <t>3,490</t>
    </r>
    <r>
      <rPr>
        <sz val="14"/>
        <rFont val="標楷體"/>
        <family val="4"/>
        <charset val="136"/>
      </rPr>
      <t>千元，全年共需</t>
    </r>
    <r>
      <rPr>
        <sz val="14"/>
        <rFont val="Times New Roman"/>
        <family val="1"/>
      </rPr>
      <t>3,490</t>
    </r>
    <r>
      <rPr>
        <sz val="14"/>
        <rFont val="標楷體"/>
        <family val="4"/>
        <charset val="136"/>
      </rPr>
      <t xml:space="preserve">千元。
</t>
    </r>
    <phoneticPr fontId="32" type="noConversion"/>
  </si>
  <si>
    <r>
      <rPr>
        <sz val="14"/>
        <rFont val="標楷體"/>
        <family val="4"/>
        <charset val="136"/>
      </rPr>
      <t>委保</t>
    </r>
    <r>
      <rPr>
        <sz val="14"/>
        <rFont val="Times New Roman"/>
        <family val="1"/>
      </rPr>
      <t>35</t>
    </r>
  </si>
  <si>
    <r>
      <rPr>
        <sz val="14"/>
        <rFont val="標楷體"/>
        <family val="4"/>
        <charset val="136"/>
      </rPr>
      <t>「基礎設施監理計畫</t>
    </r>
    <r>
      <rPr>
        <sz val="14"/>
        <rFont val="Times New Roman"/>
        <family val="1"/>
      </rPr>
      <t>-01</t>
    </r>
    <r>
      <rPr>
        <sz val="14"/>
        <rFont val="標楷體"/>
        <family val="4"/>
        <charset val="136"/>
      </rPr>
      <t>基礎設施監理</t>
    </r>
    <r>
      <rPr>
        <sz val="14"/>
        <rFont val="Times New Roman"/>
        <family val="1"/>
      </rPr>
      <t>-</t>
    </r>
    <r>
      <rPr>
        <sz val="14"/>
        <rFont val="標楷體"/>
        <family val="4"/>
        <charset val="136"/>
      </rPr>
      <t>專業服務費</t>
    </r>
    <r>
      <rPr>
        <sz val="14"/>
        <rFont val="Times New Roman"/>
        <family val="1"/>
      </rPr>
      <t>-</t>
    </r>
    <r>
      <rPr>
        <sz val="14"/>
        <rFont val="標楷體"/>
        <family val="4"/>
        <charset val="136"/>
      </rPr>
      <t>盤點亞太經濟合作</t>
    </r>
    <r>
      <rPr>
        <sz val="14"/>
        <rFont val="Times New Roman"/>
        <family val="1"/>
      </rPr>
      <t>(APEC)</t>
    </r>
    <r>
      <rPr>
        <sz val="14"/>
        <rFont val="標楷體"/>
        <family val="4"/>
        <charset val="136"/>
      </rPr>
      <t>會議會員經濟體推動符合性評鑑程序現況、遭遇困難及研提深化合作方案委託研究」編列</t>
    </r>
    <r>
      <rPr>
        <sz val="14"/>
        <rFont val="Times New Roman"/>
        <family val="1"/>
      </rPr>
      <t>349</t>
    </r>
    <r>
      <rPr>
        <sz val="14"/>
        <rFont val="標楷體"/>
        <family val="4"/>
        <charset val="136"/>
      </rPr>
      <t>萬元凍結</t>
    </r>
    <r>
      <rPr>
        <sz val="14"/>
        <rFont val="Times New Roman"/>
        <family val="1"/>
      </rPr>
      <t>50%</t>
    </r>
    <r>
      <rPr>
        <sz val="14"/>
        <rFont val="標楷體"/>
        <family val="4"/>
        <charset val="136"/>
      </rPr>
      <t>，俟通傳會向立法院交通委員會提出專案報告後經委員會同意，始得動支。</t>
    </r>
    <phoneticPr fontId="32" type="noConversion"/>
  </si>
  <si>
    <r>
      <rPr>
        <b/>
        <sz val="14"/>
        <rFont val="標楷體"/>
        <family val="4"/>
        <charset val="136"/>
      </rPr>
      <t>一、建請免予凍結，並修正提案文字為「要求國家通訊傳播委員會於</t>
    </r>
    <r>
      <rPr>
        <b/>
        <sz val="14"/>
        <rFont val="Times New Roman"/>
        <family val="1"/>
      </rPr>
      <t>2</t>
    </r>
    <r>
      <rPr>
        <b/>
        <sz val="14"/>
        <rFont val="標楷體"/>
        <family val="4"/>
        <charset val="136"/>
      </rPr>
      <t>個月內向本院交通委員會提出書面報告」。</t>
    </r>
    <r>
      <rPr>
        <b/>
        <sz val="14"/>
        <rFont val="Times New Roman"/>
        <family val="1"/>
      </rPr>
      <t xml:space="preserve"> 
</t>
    </r>
    <r>
      <rPr>
        <sz val="14"/>
        <rFont val="標楷體"/>
        <family val="4"/>
        <charset val="136"/>
      </rPr>
      <t>二、研析</t>
    </r>
    <r>
      <rPr>
        <sz val="14"/>
        <rFont val="Times New Roman"/>
        <family val="1"/>
      </rPr>
      <t>APEC</t>
    </r>
    <r>
      <rPr>
        <sz val="14"/>
        <rFont val="標楷體"/>
        <family val="4"/>
        <charset val="136"/>
      </rPr>
      <t>經濟體審驗電信設備之挑戰，研提合作方案。該等合作方案將可推動洽簽相互承認協定，認可對方測試機構及測試報告，降低審驗成本，提高審驗意願。該等協定將降低進口技術障礙，提升審驗數量，以增加審驗規費收入，改善基金營運效益。本案有賴充足預算以利執行，實質參與區域合作將凸顯我國實力，突破不斷被限縮、打壓之國際現況，擴增國際生存空間，意義重大且非凡。
三、本年截至</t>
    </r>
    <r>
      <rPr>
        <sz val="14"/>
        <rFont val="Times New Roman"/>
        <family val="1"/>
      </rPr>
      <t>4</t>
    </r>
    <r>
      <rPr>
        <sz val="14"/>
        <rFont val="標楷體"/>
        <family val="4"/>
        <charset val="136"/>
      </rPr>
      <t>月底執行</t>
    </r>
    <r>
      <rPr>
        <sz val="14"/>
        <rFont val="Times New Roman"/>
        <family val="1"/>
      </rPr>
      <t>0</t>
    </r>
    <r>
      <rPr>
        <sz val="14"/>
        <rFont val="標楷體"/>
        <family val="4"/>
        <charset val="136"/>
      </rPr>
      <t>元，預估尚須執行</t>
    </r>
    <r>
      <rPr>
        <sz val="14"/>
        <rFont val="Times New Roman"/>
        <family val="1"/>
      </rPr>
      <t>3,490</t>
    </r>
    <r>
      <rPr>
        <sz val="14"/>
        <rFont val="標楷體"/>
        <family val="4"/>
        <charset val="136"/>
      </rPr>
      <t>千元，全年共需</t>
    </r>
    <r>
      <rPr>
        <sz val="14"/>
        <rFont val="Times New Roman"/>
        <family val="1"/>
      </rPr>
      <t>3,490</t>
    </r>
    <r>
      <rPr>
        <sz val="14"/>
        <rFont val="標楷體"/>
        <family val="4"/>
        <charset val="136"/>
      </rPr>
      <t>千元。</t>
    </r>
    <phoneticPr fontId="32" type="noConversion"/>
  </si>
  <si>
    <r>
      <rPr>
        <sz val="14"/>
        <rFont val="標楷體"/>
        <family val="4"/>
        <charset val="136"/>
      </rPr>
      <t>委保</t>
    </r>
    <r>
      <rPr>
        <sz val="14"/>
        <rFont val="Times New Roman"/>
        <family val="1"/>
      </rPr>
      <t>36</t>
    </r>
  </si>
  <si>
    <r>
      <rPr>
        <sz val="14"/>
        <rFont val="標楷體"/>
        <family val="4"/>
        <charset val="136"/>
      </rPr>
      <t>「平臺事業監理計畫」編列</t>
    </r>
    <r>
      <rPr>
        <sz val="14"/>
        <rFont val="Times New Roman"/>
        <family val="1"/>
      </rPr>
      <t>2,588</t>
    </r>
    <r>
      <rPr>
        <sz val="14"/>
        <rFont val="標楷體"/>
        <family val="4"/>
        <charset val="136"/>
      </rPr>
      <t>萬</t>
    </r>
    <r>
      <rPr>
        <sz val="14"/>
        <rFont val="Times New Roman"/>
        <family val="1"/>
      </rPr>
      <t>9</t>
    </r>
    <r>
      <rPr>
        <sz val="14"/>
        <rFont val="標楷體"/>
        <family val="4"/>
        <charset val="136"/>
      </rPr>
      <t>千元，凍結</t>
    </r>
    <r>
      <rPr>
        <sz val="14"/>
        <rFont val="Times New Roman"/>
        <family val="1"/>
      </rPr>
      <t>10%</t>
    </r>
    <r>
      <rPr>
        <sz val="14"/>
        <rFont val="標楷體"/>
        <family val="4"/>
        <charset val="136"/>
      </rPr>
      <t>，俟通傳會於三個月內向交通委員會提出書面報告後，始得動支。</t>
    </r>
    <phoneticPr fontId="32" type="noConversion"/>
  </si>
  <si>
    <r>
      <rPr>
        <sz val="14"/>
        <rFont val="標楷體"/>
        <family val="4"/>
        <charset val="136"/>
      </rPr>
      <t>委保</t>
    </r>
    <r>
      <rPr>
        <sz val="14"/>
        <rFont val="Times New Roman"/>
        <family val="1"/>
      </rPr>
      <t>37</t>
    </r>
  </si>
  <si>
    <r>
      <rPr>
        <sz val="14"/>
        <rFont val="標楷體"/>
        <family val="4"/>
        <charset val="136"/>
      </rPr>
      <t>「平臺事業監理計畫</t>
    </r>
    <r>
      <rPr>
        <sz val="14"/>
        <rFont val="Times New Roman"/>
        <family val="1"/>
      </rPr>
      <t>-</t>
    </r>
    <r>
      <rPr>
        <sz val="14"/>
        <rFont val="標楷體"/>
        <family val="4"/>
        <charset val="136"/>
      </rPr>
      <t>專業服務費」編列</t>
    </r>
    <r>
      <rPr>
        <sz val="14"/>
        <rFont val="Times New Roman"/>
        <family val="1"/>
      </rPr>
      <t>1,483</t>
    </r>
    <r>
      <rPr>
        <sz val="14"/>
        <rFont val="標楷體"/>
        <family val="4"/>
        <charset val="136"/>
      </rPr>
      <t>萬</t>
    </r>
    <r>
      <rPr>
        <sz val="14"/>
        <rFont val="Times New Roman"/>
        <family val="1"/>
      </rPr>
      <t>9</t>
    </r>
    <r>
      <rPr>
        <sz val="14"/>
        <rFont val="標楷體"/>
        <family val="4"/>
        <charset val="136"/>
      </rPr>
      <t>千元，通傳會應積極透過協商解決爭議，減少訴訟成本，並針對個案具體情形與法律依據研議對策，爰減列</t>
    </r>
    <r>
      <rPr>
        <sz val="14"/>
        <rFont val="Times New Roman"/>
        <family val="1"/>
      </rPr>
      <t>142</t>
    </r>
    <r>
      <rPr>
        <sz val="14"/>
        <rFont val="標楷體"/>
        <family val="4"/>
        <charset val="136"/>
      </rPr>
      <t>萬元。</t>
    </r>
    <phoneticPr fontId="32" type="noConversion"/>
  </si>
  <si>
    <r>
      <rPr>
        <b/>
        <sz val="14"/>
        <rFont val="標楷體"/>
        <family val="4"/>
        <charset val="136"/>
      </rPr>
      <t>一、建請第</t>
    </r>
    <r>
      <rPr>
        <b/>
        <sz val="14"/>
        <rFont val="Times New Roman"/>
        <family val="1"/>
      </rPr>
      <t>36</t>
    </r>
    <r>
      <rPr>
        <b/>
        <sz val="14"/>
        <rFont val="標楷體"/>
        <family val="4"/>
        <charset val="136"/>
      </rPr>
      <t>至</t>
    </r>
    <r>
      <rPr>
        <b/>
        <sz val="14"/>
        <rFont val="Times New Roman"/>
        <family val="1"/>
      </rPr>
      <t>41</t>
    </r>
    <r>
      <rPr>
        <b/>
        <sz val="14"/>
        <rFont val="標楷體"/>
        <family val="4"/>
        <charset val="136"/>
      </rPr>
      <t>案併案處理，免予減列，並修正提案文字為「凍結『平臺事業監理計畫』預算</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二、訴訟費僅占專業服務費約</t>
    </r>
    <r>
      <rPr>
        <sz val="14"/>
        <rFont val="Times New Roman"/>
        <family val="1"/>
      </rPr>
      <t>2</t>
    </r>
    <r>
      <rPr>
        <sz val="14"/>
        <rFont val="標楷體"/>
        <family val="4"/>
        <charset val="136"/>
      </rPr>
      <t>成，對通傳會依法所為之行政處分不服者，已無訴願程序，皆直接進入訴訟程序，導致訴訟案件增加。鑒於人民有提起訴訟之權，且訴訟實務須透過律師專業訴訟能力及法律學養，協助通傳會答辯及訴訟攻防等事宜，爰編列相關預算支應所需。
三、本年截至</t>
    </r>
    <r>
      <rPr>
        <sz val="14"/>
        <rFont val="Times New Roman"/>
        <family val="1"/>
      </rPr>
      <t>4</t>
    </r>
    <r>
      <rPr>
        <sz val="14"/>
        <rFont val="標楷體"/>
        <family val="4"/>
        <charset val="136"/>
      </rPr>
      <t>月底執行數</t>
    </r>
    <r>
      <rPr>
        <sz val="14"/>
        <rFont val="Times New Roman"/>
        <family val="1"/>
      </rPr>
      <t>120</t>
    </r>
    <r>
      <rPr>
        <sz val="14"/>
        <rFont val="標楷體"/>
        <family val="4"/>
        <charset val="136"/>
      </rPr>
      <t>千元，預估尚須執行</t>
    </r>
    <r>
      <rPr>
        <sz val="14"/>
        <rFont val="Times New Roman"/>
        <family val="1"/>
      </rPr>
      <t>14,719</t>
    </r>
    <r>
      <rPr>
        <sz val="14"/>
        <rFont val="標楷體"/>
        <family val="4"/>
        <charset val="136"/>
      </rPr>
      <t>千元，全年共需</t>
    </r>
    <r>
      <rPr>
        <sz val="14"/>
        <rFont val="Times New Roman"/>
        <family val="1"/>
      </rPr>
      <t>14,839</t>
    </r>
    <r>
      <rPr>
        <sz val="14"/>
        <rFont val="標楷體"/>
        <family val="4"/>
        <charset val="136"/>
      </rPr>
      <t>千元。</t>
    </r>
    <phoneticPr fontId="32" type="noConversion"/>
  </si>
  <si>
    <r>
      <rPr>
        <sz val="14"/>
        <rFont val="標楷體"/>
        <family val="4"/>
        <charset val="136"/>
      </rPr>
      <t>委保</t>
    </r>
    <r>
      <rPr>
        <sz val="14"/>
        <rFont val="Times New Roman"/>
        <family val="1"/>
      </rPr>
      <t>38</t>
    </r>
  </si>
  <si>
    <r>
      <rPr>
        <sz val="14"/>
        <rFont val="標楷體"/>
        <family val="4"/>
        <charset val="136"/>
      </rPr>
      <t>「平臺事業監理計畫</t>
    </r>
    <r>
      <rPr>
        <sz val="14"/>
        <rFont val="Times New Roman"/>
        <family val="1"/>
      </rPr>
      <t>-</t>
    </r>
    <r>
      <rPr>
        <sz val="14"/>
        <rFont val="標楷體"/>
        <family val="4"/>
        <charset val="136"/>
      </rPr>
      <t>專業服務費」編列</t>
    </r>
    <r>
      <rPr>
        <sz val="14"/>
        <rFont val="Times New Roman"/>
        <family val="1"/>
      </rPr>
      <t>1,483</t>
    </r>
    <r>
      <rPr>
        <sz val="14"/>
        <rFont val="標楷體"/>
        <family val="4"/>
        <charset val="136"/>
      </rPr>
      <t>萬</t>
    </r>
    <r>
      <rPr>
        <sz val="14"/>
        <rFont val="Times New Roman"/>
        <family val="1"/>
      </rPr>
      <t>9</t>
    </r>
    <r>
      <rPr>
        <sz val="14"/>
        <rFont val="標楷體"/>
        <family val="4"/>
        <charset val="136"/>
      </rPr>
      <t>千元，減列</t>
    </r>
    <r>
      <rPr>
        <sz val="14"/>
        <rFont val="Times New Roman"/>
        <family val="1"/>
      </rPr>
      <t>1,000</t>
    </r>
    <r>
      <rPr>
        <sz val="14"/>
        <rFont val="標楷體"/>
        <family val="4"/>
        <charset val="136"/>
      </rPr>
      <t>萬元並凍結</t>
    </r>
    <r>
      <rPr>
        <sz val="14"/>
        <rFont val="Times New Roman"/>
        <family val="1"/>
      </rPr>
      <t>30%</t>
    </r>
    <r>
      <rPr>
        <sz val="14"/>
        <rFont val="標楷體"/>
        <family val="4"/>
        <charset val="136"/>
      </rPr>
      <t>，俟通傳會提出專案報告經同意後，始得動支。</t>
    </r>
    <phoneticPr fontId="32" type="noConversion"/>
  </si>
  <si>
    <r>
      <rPr>
        <b/>
        <sz val="14"/>
        <rFont val="標楷體"/>
        <family val="4"/>
        <charset val="136"/>
      </rPr>
      <t>一、建請第</t>
    </r>
    <r>
      <rPr>
        <b/>
        <sz val="14"/>
        <rFont val="Times New Roman"/>
        <family val="1"/>
      </rPr>
      <t>36</t>
    </r>
    <r>
      <rPr>
        <b/>
        <sz val="14"/>
        <rFont val="標楷體"/>
        <family val="4"/>
        <charset val="136"/>
      </rPr>
      <t>至</t>
    </r>
    <r>
      <rPr>
        <b/>
        <sz val="14"/>
        <rFont val="Times New Roman"/>
        <family val="1"/>
      </rPr>
      <t>41</t>
    </r>
    <r>
      <rPr>
        <b/>
        <sz val="14"/>
        <rFont val="標楷體"/>
        <family val="4"/>
        <charset val="136"/>
      </rPr>
      <t>案併案處理，免予減列，並修正提案文字為「</t>
    </r>
    <r>
      <rPr>
        <b/>
        <sz val="14"/>
        <rFont val="Times New Roman"/>
        <family val="1"/>
      </rPr>
      <t>…</t>
    </r>
    <r>
      <rPr>
        <b/>
        <sz val="14"/>
        <rFont val="標楷體"/>
        <family val="4"/>
        <charset val="136"/>
      </rPr>
      <t>凍結『平臺事業監理計畫』</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年預計將召開</t>
    </r>
    <r>
      <rPr>
        <sz val="14"/>
        <rFont val="Times New Roman"/>
        <family val="1"/>
      </rPr>
      <t>10</t>
    </r>
    <r>
      <rPr>
        <sz val="14"/>
        <rFont val="標楷體"/>
        <family val="4"/>
        <charset val="136"/>
      </rPr>
      <t>場相關諮詢會議處理</t>
    </r>
    <r>
      <rPr>
        <sz val="14"/>
        <rFont val="Times New Roman"/>
        <family val="1"/>
      </rPr>
      <t>26</t>
    </r>
    <r>
      <rPr>
        <sz val="14"/>
        <rFont val="標楷體"/>
        <family val="4"/>
        <charset val="136"/>
      </rPr>
      <t>件評鑑案及</t>
    </r>
    <r>
      <rPr>
        <sz val="14"/>
        <rFont val="Times New Roman"/>
        <family val="1"/>
      </rPr>
      <t>3</t>
    </r>
    <r>
      <rPr>
        <sz val="14"/>
        <rFont val="標楷體"/>
        <family val="4"/>
        <charset val="136"/>
      </rPr>
      <t>件換照案，而因包含</t>
    </r>
    <r>
      <rPr>
        <sz val="14"/>
        <rFont val="Times New Roman"/>
        <family val="1"/>
      </rPr>
      <t>7</t>
    </r>
    <r>
      <rPr>
        <sz val="14"/>
        <rFont val="標楷體"/>
        <family val="4"/>
        <charset val="136"/>
      </rPr>
      <t>名外部學者專家，應依規定支給外部委員出席費及審查費。鑑於</t>
    </r>
    <r>
      <rPr>
        <sz val="14"/>
        <rFont val="Times New Roman"/>
        <family val="1"/>
      </rPr>
      <t>113</t>
    </r>
    <r>
      <rPr>
        <sz val="14"/>
        <rFont val="標楷體"/>
        <family val="4"/>
        <charset val="136"/>
      </rPr>
      <t>年建置「通訊傳播事業個人資料安全事故通報系統資訊平臺」，於</t>
    </r>
    <r>
      <rPr>
        <sz val="14"/>
        <rFont val="Times New Roman"/>
        <family val="1"/>
      </rPr>
      <t>114</t>
    </r>
    <r>
      <rPr>
        <sz val="14"/>
        <rFont val="標楷體"/>
        <family val="4"/>
        <charset val="136"/>
      </rPr>
      <t>年為指導所轄管通訊傳播事業針對該平臺介面之操作流程，將於北、中、南地區辦理</t>
    </r>
    <r>
      <rPr>
        <sz val="14"/>
        <rFont val="Times New Roman"/>
        <family val="1"/>
      </rPr>
      <t>10</t>
    </r>
    <r>
      <rPr>
        <sz val="14"/>
        <rFont val="標楷體"/>
        <family val="4"/>
        <charset val="136"/>
      </rPr>
      <t>場次之系統操作教育訓練。
三、本年截至</t>
    </r>
    <r>
      <rPr>
        <sz val="14"/>
        <rFont val="Times New Roman"/>
        <family val="1"/>
      </rPr>
      <t>4</t>
    </r>
    <r>
      <rPr>
        <sz val="14"/>
        <rFont val="標楷體"/>
        <family val="4"/>
        <charset val="136"/>
      </rPr>
      <t>月底執行數</t>
    </r>
    <r>
      <rPr>
        <sz val="14"/>
        <rFont val="Times New Roman"/>
        <family val="1"/>
      </rPr>
      <t>120</t>
    </r>
    <r>
      <rPr>
        <sz val="14"/>
        <rFont val="標楷體"/>
        <family val="4"/>
        <charset val="136"/>
      </rPr>
      <t>千元，預估尚須執行</t>
    </r>
    <r>
      <rPr>
        <sz val="14"/>
        <rFont val="Times New Roman"/>
        <family val="1"/>
      </rPr>
      <t>14,719</t>
    </r>
    <r>
      <rPr>
        <sz val="14"/>
        <rFont val="標楷體"/>
        <family val="4"/>
        <charset val="136"/>
      </rPr>
      <t>千元，全年共需</t>
    </r>
    <r>
      <rPr>
        <sz val="14"/>
        <rFont val="Times New Roman"/>
        <family val="1"/>
      </rPr>
      <t>14,839</t>
    </r>
    <r>
      <rPr>
        <sz val="14"/>
        <rFont val="標楷體"/>
        <family val="4"/>
        <charset val="136"/>
      </rPr>
      <t>千元。</t>
    </r>
    <phoneticPr fontId="32" type="noConversion"/>
  </si>
  <si>
    <r>
      <rPr>
        <sz val="14"/>
        <rFont val="標楷體"/>
        <family val="4"/>
        <charset val="136"/>
      </rPr>
      <t>委保</t>
    </r>
    <r>
      <rPr>
        <sz val="14"/>
        <rFont val="Times New Roman"/>
        <family val="1"/>
      </rPr>
      <t>39</t>
    </r>
  </si>
  <si>
    <r>
      <rPr>
        <sz val="14"/>
        <rFont val="標楷體"/>
        <family val="4"/>
        <charset val="136"/>
      </rPr>
      <t>「平臺事業監理計畫</t>
    </r>
    <r>
      <rPr>
        <sz val="14"/>
        <rFont val="Times New Roman"/>
        <family val="1"/>
      </rPr>
      <t>-</t>
    </r>
    <r>
      <rPr>
        <sz val="14"/>
        <rFont val="標楷體"/>
        <family val="4"/>
        <charset val="136"/>
      </rPr>
      <t>辦理行動通信及有線電視裁處案件訴訟費及法律諮詢費」編列</t>
    </r>
    <r>
      <rPr>
        <sz val="14"/>
        <rFont val="Times New Roman"/>
        <family val="1"/>
      </rPr>
      <t>302</t>
    </r>
    <r>
      <rPr>
        <sz val="14"/>
        <rFont val="標楷體"/>
        <family val="4"/>
        <charset val="136"/>
      </rPr>
      <t>萬元，通傳會每年仍編列大量訴訟費用，爰減列</t>
    </r>
    <r>
      <rPr>
        <sz val="14"/>
        <rFont val="Times New Roman"/>
        <family val="1"/>
      </rPr>
      <t>302</t>
    </r>
    <r>
      <rPr>
        <sz val="14"/>
        <rFont val="標楷體"/>
        <family val="4"/>
        <charset val="136"/>
      </rPr>
      <t>萬元。</t>
    </r>
    <phoneticPr fontId="32" type="noConversion"/>
  </si>
  <si>
    <r>
      <rPr>
        <b/>
        <sz val="14"/>
        <rFont val="標楷體"/>
        <family val="4"/>
        <charset val="136"/>
      </rPr>
      <t>一、建請第</t>
    </r>
    <r>
      <rPr>
        <b/>
        <sz val="14"/>
        <rFont val="Times New Roman"/>
        <family val="1"/>
      </rPr>
      <t>36</t>
    </r>
    <r>
      <rPr>
        <b/>
        <sz val="14"/>
        <rFont val="標楷體"/>
        <family val="4"/>
        <charset val="136"/>
      </rPr>
      <t>至</t>
    </r>
    <r>
      <rPr>
        <b/>
        <sz val="14"/>
        <rFont val="Times New Roman"/>
        <family val="1"/>
      </rPr>
      <t>41</t>
    </r>
    <r>
      <rPr>
        <b/>
        <sz val="14"/>
        <rFont val="標楷體"/>
        <family val="4"/>
        <charset val="136"/>
      </rPr>
      <t>案併案處理，免予減列，並修正提案文字為「『平臺事業監理計畫』預算凍結</t>
    </r>
    <r>
      <rPr>
        <b/>
        <sz val="14"/>
        <rFont val="Times New Roman"/>
        <family val="1"/>
      </rPr>
      <t>10%</t>
    </r>
    <r>
      <rPr>
        <b/>
        <sz val="14"/>
        <rFont val="標楷體"/>
        <family val="4"/>
        <charset val="136"/>
      </rPr>
      <t>，提書面報告後始得動支」。</t>
    </r>
    <r>
      <rPr>
        <sz val="14"/>
        <rFont val="Times New Roman"/>
        <family val="1"/>
      </rPr>
      <t xml:space="preserve">
</t>
    </r>
    <r>
      <rPr>
        <sz val="14"/>
        <rFont val="標楷體"/>
        <family val="4"/>
        <charset val="136"/>
      </rPr>
      <t>二、通傳會裁處案件皆依法作成，採合議制且對所有頻道採取一致的標準監理。人民因不服處分，提起行政救濟，致通傳會作為行政訴訟被告之案件增加，考量訴訟實務須透過律師專業訴訟能力及法律學養，協助通傳會答辯及訴訟攻防等事宜，爰編列相關預算支應所需。
三、本年截至</t>
    </r>
    <r>
      <rPr>
        <sz val="14"/>
        <rFont val="Times New Roman"/>
        <family val="1"/>
      </rPr>
      <t>4</t>
    </r>
    <r>
      <rPr>
        <sz val="14"/>
        <rFont val="標楷體"/>
        <family val="4"/>
        <charset val="136"/>
      </rPr>
      <t>月底執行數</t>
    </r>
    <r>
      <rPr>
        <sz val="14"/>
        <rFont val="Times New Roman"/>
        <family val="1"/>
      </rPr>
      <t>50</t>
    </r>
    <r>
      <rPr>
        <sz val="14"/>
        <rFont val="標楷體"/>
        <family val="4"/>
        <charset val="136"/>
      </rPr>
      <t>千元，預估尚須執行</t>
    </r>
    <r>
      <rPr>
        <sz val="14"/>
        <rFont val="Times New Roman"/>
        <family val="1"/>
      </rPr>
      <t>2,970</t>
    </r>
    <r>
      <rPr>
        <sz val="14"/>
        <rFont val="標楷體"/>
        <family val="4"/>
        <charset val="136"/>
      </rPr>
      <t>千元，全年共需</t>
    </r>
    <r>
      <rPr>
        <sz val="14"/>
        <rFont val="Times New Roman"/>
        <family val="1"/>
      </rPr>
      <t>3,020</t>
    </r>
    <r>
      <rPr>
        <sz val="14"/>
        <rFont val="標楷體"/>
        <family val="4"/>
        <charset val="136"/>
      </rPr>
      <t>千元。</t>
    </r>
    <phoneticPr fontId="32" type="noConversion"/>
  </si>
  <si>
    <r>
      <rPr>
        <sz val="14"/>
        <rFont val="標楷體"/>
        <family val="4"/>
        <charset val="136"/>
      </rPr>
      <t>委保</t>
    </r>
    <r>
      <rPr>
        <sz val="14"/>
        <rFont val="Times New Roman"/>
        <family val="1"/>
      </rPr>
      <t>40</t>
    </r>
  </si>
  <si>
    <r>
      <rPr>
        <sz val="14"/>
        <rFont val="標楷體"/>
        <family val="4"/>
        <charset val="136"/>
      </rPr>
      <t>「平臺事業監理計畫</t>
    </r>
    <r>
      <rPr>
        <sz val="14"/>
        <rFont val="Times New Roman"/>
        <family val="1"/>
      </rPr>
      <t>-</t>
    </r>
    <r>
      <rPr>
        <sz val="14"/>
        <rFont val="標楷體"/>
        <family val="4"/>
        <charset val="136"/>
      </rPr>
      <t>辦理行動通信及有線電視裁處案件訴訟費及法律諮詢費」編列</t>
    </r>
    <r>
      <rPr>
        <sz val="14"/>
        <rFont val="Times New Roman"/>
        <family val="1"/>
      </rPr>
      <t>302</t>
    </r>
    <r>
      <rPr>
        <sz val="14"/>
        <rFont val="標楷體"/>
        <family val="4"/>
        <charset val="136"/>
      </rPr>
      <t>萬元，為促進主管機關加強與業者溝通以減少訴訟成本，爰減列</t>
    </r>
    <r>
      <rPr>
        <sz val="14"/>
        <rFont val="Times New Roman"/>
        <family val="1"/>
      </rPr>
      <t>50%</t>
    </r>
    <r>
      <rPr>
        <sz val="14"/>
        <rFont val="標楷體"/>
        <family val="4"/>
        <charset val="136"/>
      </rPr>
      <t>。</t>
    </r>
    <phoneticPr fontId="32" type="noConversion"/>
  </si>
  <si>
    <r>
      <rPr>
        <b/>
        <sz val="14"/>
        <rFont val="標楷體"/>
        <family val="4"/>
        <charset val="136"/>
      </rPr>
      <t>一、建請第</t>
    </r>
    <r>
      <rPr>
        <b/>
        <sz val="14"/>
        <rFont val="Times New Roman"/>
        <family val="1"/>
      </rPr>
      <t>36</t>
    </r>
    <r>
      <rPr>
        <b/>
        <sz val="14"/>
        <rFont val="標楷體"/>
        <family val="4"/>
        <charset val="136"/>
      </rPr>
      <t>至</t>
    </r>
    <r>
      <rPr>
        <b/>
        <sz val="14"/>
        <rFont val="Times New Roman"/>
        <family val="1"/>
      </rPr>
      <t>41</t>
    </r>
    <r>
      <rPr>
        <b/>
        <sz val="14"/>
        <rFont val="標楷體"/>
        <family val="4"/>
        <charset val="136"/>
      </rPr>
      <t>案併案處理，免予減列，並修正提案文字為「</t>
    </r>
    <r>
      <rPr>
        <b/>
        <sz val="14"/>
        <rFont val="Times New Roman"/>
        <family val="1"/>
      </rPr>
      <t>……</t>
    </r>
    <r>
      <rPr>
        <b/>
        <sz val="14"/>
        <rFont val="標楷體"/>
        <family val="4"/>
        <charset val="136"/>
      </rPr>
      <t>維護政策之合法與公平性，爰提案凍結『平臺事業監理計畫』預算</t>
    </r>
    <r>
      <rPr>
        <b/>
        <sz val="14"/>
        <rFont val="Times New Roman"/>
        <family val="1"/>
      </rPr>
      <t>10%</t>
    </r>
    <r>
      <rPr>
        <b/>
        <sz val="14"/>
        <rFont val="標楷體"/>
        <family val="4"/>
        <charset val="136"/>
      </rPr>
      <t>，俟通傳會提出書面報告後，始得動支，</t>
    </r>
    <r>
      <rPr>
        <b/>
        <sz val="14"/>
        <rFont val="Times New Roman"/>
        <family val="1"/>
      </rPr>
      <t>……</t>
    </r>
    <r>
      <rPr>
        <b/>
        <sz val="14"/>
        <rFont val="標楷體"/>
        <family val="4"/>
        <charset val="136"/>
      </rPr>
      <t>」。</t>
    </r>
    <r>
      <rPr>
        <sz val="14"/>
        <rFont val="Times New Roman"/>
        <family val="1"/>
      </rPr>
      <t xml:space="preserve">
</t>
    </r>
    <r>
      <rPr>
        <sz val="14"/>
        <rFont val="標楷體"/>
        <family val="4"/>
        <charset val="136"/>
      </rPr>
      <t>二、同第</t>
    </r>
    <r>
      <rPr>
        <sz val="14"/>
        <rFont val="Times New Roman"/>
        <family val="1"/>
      </rPr>
      <t>39</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50</t>
    </r>
    <r>
      <rPr>
        <sz val="14"/>
        <rFont val="標楷體"/>
        <family val="4"/>
        <charset val="136"/>
      </rPr>
      <t>千元，預估尚須執行</t>
    </r>
    <r>
      <rPr>
        <sz val="14"/>
        <rFont val="Times New Roman"/>
        <family val="1"/>
      </rPr>
      <t>2,970</t>
    </r>
    <r>
      <rPr>
        <sz val="14"/>
        <rFont val="標楷體"/>
        <family val="4"/>
        <charset val="136"/>
      </rPr>
      <t>千元，全年共需</t>
    </r>
    <r>
      <rPr>
        <sz val="14"/>
        <rFont val="Times New Roman"/>
        <family val="1"/>
      </rPr>
      <t>3,020</t>
    </r>
    <r>
      <rPr>
        <sz val="14"/>
        <rFont val="標楷體"/>
        <family val="4"/>
        <charset val="136"/>
      </rPr>
      <t>千元。</t>
    </r>
    <phoneticPr fontId="32" type="noConversion"/>
  </si>
  <si>
    <r>
      <rPr>
        <sz val="14"/>
        <rFont val="標楷體"/>
        <family val="4"/>
        <charset val="136"/>
      </rPr>
      <t>委保</t>
    </r>
    <r>
      <rPr>
        <sz val="14"/>
        <rFont val="Times New Roman"/>
        <family val="1"/>
      </rPr>
      <t>41</t>
    </r>
  </si>
  <si>
    <r>
      <rPr>
        <sz val="14"/>
        <rFont val="標楷體"/>
        <family val="4"/>
        <charset val="136"/>
      </rPr>
      <t>「平臺事業監理計畫</t>
    </r>
    <r>
      <rPr>
        <sz val="14"/>
        <rFont val="Times New Roman"/>
        <family val="1"/>
      </rPr>
      <t>-</t>
    </r>
    <r>
      <rPr>
        <sz val="14"/>
        <rFont val="標楷體"/>
        <family val="4"/>
        <charset val="136"/>
      </rPr>
      <t>辦理行動通信及有線電視裁處案件訴訟費及法律諮詢費」編列</t>
    </r>
    <r>
      <rPr>
        <sz val="14"/>
        <rFont val="Times New Roman"/>
        <family val="1"/>
      </rPr>
      <t>302</t>
    </r>
    <r>
      <rPr>
        <sz val="14"/>
        <rFont val="標楷體"/>
        <family val="4"/>
        <charset val="136"/>
      </rPr>
      <t>萬元，爰減列</t>
    </r>
    <r>
      <rPr>
        <sz val="14"/>
        <rFont val="Times New Roman"/>
        <family val="1"/>
      </rPr>
      <t>190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個月內向立法院交通委員會提出專案報告並經同意後，始得動支。</t>
    </r>
    <phoneticPr fontId="32" type="noConversion"/>
  </si>
  <si>
    <r>
      <rPr>
        <b/>
        <sz val="14"/>
        <rFont val="標楷體"/>
        <family val="4"/>
        <charset val="136"/>
      </rPr>
      <t>一、建請第</t>
    </r>
    <r>
      <rPr>
        <b/>
        <sz val="14"/>
        <rFont val="Times New Roman"/>
        <family val="1"/>
      </rPr>
      <t>36</t>
    </r>
    <r>
      <rPr>
        <b/>
        <sz val="14"/>
        <rFont val="標楷體"/>
        <family val="4"/>
        <charset val="136"/>
      </rPr>
      <t>至</t>
    </r>
    <r>
      <rPr>
        <b/>
        <sz val="14"/>
        <rFont val="Times New Roman"/>
        <family val="1"/>
      </rPr>
      <t>41</t>
    </r>
    <r>
      <rPr>
        <b/>
        <sz val="14"/>
        <rFont val="標楷體"/>
        <family val="4"/>
        <charset val="136"/>
      </rPr>
      <t>案併案處理，免予減列，並修正提案文字為「</t>
    </r>
    <r>
      <rPr>
        <b/>
        <sz val="14"/>
        <rFont val="Times New Roman"/>
        <family val="1"/>
      </rPr>
      <t>……</t>
    </r>
    <r>
      <rPr>
        <b/>
        <sz val="14"/>
        <rFont val="標楷體"/>
        <family val="4"/>
        <charset val="136"/>
      </rPr>
      <t>應妥為研謀因應，爰提案凍結預算『平臺事業監理計畫』</t>
    </r>
    <r>
      <rPr>
        <b/>
        <sz val="14"/>
        <rFont val="Times New Roman"/>
        <family val="1"/>
      </rPr>
      <t>10%</t>
    </r>
    <r>
      <rPr>
        <b/>
        <sz val="14"/>
        <rFont val="標楷體"/>
        <family val="4"/>
        <charset val="136"/>
      </rPr>
      <t>，俟通傳會向立法院交通委會提出書面報告後，始得動支」。</t>
    </r>
    <r>
      <rPr>
        <sz val="14"/>
        <rFont val="Times New Roman"/>
        <family val="1"/>
      </rPr>
      <t xml:space="preserve">
</t>
    </r>
    <r>
      <rPr>
        <sz val="14"/>
        <rFont val="標楷體"/>
        <family val="4"/>
        <charset val="136"/>
      </rPr>
      <t>二、同第</t>
    </r>
    <r>
      <rPr>
        <sz val="14"/>
        <rFont val="Times New Roman"/>
        <family val="1"/>
      </rPr>
      <t>39</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50</t>
    </r>
    <r>
      <rPr>
        <sz val="14"/>
        <rFont val="標楷體"/>
        <family val="4"/>
        <charset val="136"/>
      </rPr>
      <t>千元，預估尚須執行</t>
    </r>
    <r>
      <rPr>
        <sz val="14"/>
        <rFont val="Times New Roman"/>
        <family val="1"/>
      </rPr>
      <t>2,970</t>
    </r>
    <r>
      <rPr>
        <sz val="14"/>
        <rFont val="標楷體"/>
        <family val="4"/>
        <charset val="136"/>
      </rPr>
      <t>千元，全年共需</t>
    </r>
    <r>
      <rPr>
        <sz val="14"/>
        <rFont val="Times New Roman"/>
        <family val="1"/>
      </rPr>
      <t>3,020</t>
    </r>
    <r>
      <rPr>
        <sz val="14"/>
        <rFont val="標楷體"/>
        <family val="4"/>
        <charset val="136"/>
      </rPr>
      <t>千元。</t>
    </r>
    <phoneticPr fontId="32" type="noConversion"/>
  </si>
  <si>
    <r>
      <rPr>
        <sz val="14"/>
        <rFont val="標楷體"/>
        <family val="4"/>
        <charset val="136"/>
      </rPr>
      <t>委保</t>
    </r>
    <r>
      <rPr>
        <sz val="14"/>
        <rFont val="Times New Roman"/>
        <family val="1"/>
      </rPr>
      <t>42</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</si>
  <si>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千元，通傳會為我國新聞媒體之主管機關，應負起責任，積極維護言論市場之健全發展與守護民主價值，然實際運作結果卻完全背道而馳，爰預算全數刪除。</t>
    </r>
  </si>
  <si>
    <r>
      <rPr>
        <b/>
        <sz val="14"/>
        <rFont val="標楷體"/>
        <family val="4"/>
        <charset val="136"/>
      </rPr>
      <t>一、建請免予減列，並刪除提案文字「然實際運作結果</t>
    </r>
    <r>
      <rPr>
        <b/>
        <sz val="14"/>
        <rFont val="Times New Roman"/>
        <family val="1"/>
      </rPr>
      <t>……</t>
    </r>
    <r>
      <rPr>
        <b/>
        <sz val="14"/>
        <rFont val="標楷體"/>
        <family val="4"/>
        <charset val="136"/>
      </rPr>
      <t>全數刪除」等字，修正文字為「爰提案凍結</t>
    </r>
    <r>
      <rPr>
        <b/>
        <sz val="14"/>
        <rFont val="Times New Roman"/>
        <family val="1"/>
      </rPr>
      <t>10%</t>
    </r>
    <r>
      <rPr>
        <b/>
        <sz val="14"/>
        <rFont val="標楷體"/>
        <family val="4"/>
        <charset val="136"/>
      </rPr>
      <t>，請通傳會提出相關辦理情形之書面報告後，始得動支」。</t>
    </r>
    <r>
      <rPr>
        <sz val="14"/>
        <rFont val="Times New Roman"/>
        <family val="1"/>
      </rPr>
      <t xml:space="preserve">
</t>
    </r>
    <r>
      <rPr>
        <sz val="14"/>
        <rFont val="標楷體"/>
        <family val="4"/>
        <charset val="136"/>
      </rPr>
      <t>二、針對新聞媒體涉與詐騙集團合作案，該會已依行政程序啟動調查，函請業者說明，並提送「廣播電視節目廣告諮詢會議」討論，後續提請該會委員會議審議，做成最終決議。
三、本年截至</t>
    </r>
    <r>
      <rPr>
        <sz val="14"/>
        <rFont val="Times New Roman"/>
        <family val="1"/>
      </rPr>
      <t>4</t>
    </r>
    <r>
      <rPr>
        <sz val="14"/>
        <rFont val="標楷體"/>
        <family val="4"/>
        <charset val="136"/>
      </rPr>
      <t>月底執行數</t>
    </r>
    <r>
      <rPr>
        <sz val="14"/>
        <rFont val="Times New Roman"/>
        <family val="1"/>
      </rPr>
      <t>6,669</t>
    </r>
    <r>
      <rPr>
        <sz val="14"/>
        <rFont val="標楷體"/>
        <family val="4"/>
        <charset val="136"/>
      </rPr>
      <t>千元，預估尚須執行</t>
    </r>
    <r>
      <rPr>
        <sz val="14"/>
        <rFont val="Times New Roman"/>
        <family val="1"/>
      </rPr>
      <t>29,712</t>
    </r>
    <r>
      <rPr>
        <sz val="14"/>
        <rFont val="標楷體"/>
        <family val="4"/>
        <charset val="136"/>
      </rPr>
      <t>千元，全年共需</t>
    </r>
    <r>
      <rPr>
        <sz val="14"/>
        <rFont val="Times New Roman"/>
        <family val="1"/>
      </rPr>
      <t>36,381</t>
    </r>
    <r>
      <rPr>
        <sz val="14"/>
        <rFont val="標楷體"/>
        <family val="4"/>
        <charset val="136"/>
      </rPr>
      <t>千元。</t>
    </r>
    <phoneticPr fontId="32" type="noConversion"/>
  </si>
  <si>
    <r>
      <rPr>
        <sz val="14"/>
        <rFont val="標楷體"/>
        <family val="4"/>
        <charset val="136"/>
      </rPr>
      <t>委保</t>
    </r>
    <r>
      <rPr>
        <sz val="14"/>
        <rFont val="Times New Roman"/>
        <family val="1"/>
      </rPr>
      <t>43</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</si>
  <si>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千元，經查臺灣原創兒少影視內容自製率偏低，另我國兒童節目製作總時數逐年下滑，考量我國兒少收視行為變化與節目製作量能下降，爰減列</t>
    </r>
    <r>
      <rPr>
        <sz val="14"/>
        <rFont val="Times New Roman"/>
        <family val="1"/>
      </rPr>
      <t>200</t>
    </r>
    <r>
      <rPr>
        <sz val="14"/>
        <rFont val="標楷體"/>
        <family val="4"/>
        <charset val="136"/>
      </rPr>
      <t>萬元。</t>
    </r>
  </si>
  <si>
    <r>
      <rPr>
        <b/>
        <sz val="14"/>
        <rFont val="標楷體"/>
        <family val="4"/>
        <charset val="136"/>
      </rPr>
      <t>一、建請第</t>
    </r>
    <r>
      <rPr>
        <b/>
        <sz val="14"/>
        <rFont val="Times New Roman"/>
        <family val="1"/>
      </rPr>
      <t>43</t>
    </r>
    <r>
      <rPr>
        <b/>
        <sz val="14"/>
        <rFont val="標楷體"/>
        <family val="4"/>
        <charset val="136"/>
      </rPr>
      <t>至</t>
    </r>
    <r>
      <rPr>
        <b/>
        <sz val="14"/>
        <rFont val="Times New Roman"/>
        <family val="1"/>
      </rPr>
      <t>48</t>
    </r>
    <r>
      <rPr>
        <b/>
        <sz val="14"/>
        <rFont val="標楷體"/>
        <family val="4"/>
        <charset val="136"/>
      </rPr>
      <t>案併案處理，免予減列，並修正提案文字為「</t>
    </r>
    <r>
      <rPr>
        <b/>
        <sz val="14"/>
        <rFont val="Times New Roman"/>
        <family val="1"/>
      </rPr>
      <t>……</t>
    </r>
    <r>
      <rPr>
        <b/>
        <sz val="14"/>
        <rFont val="標楷體"/>
        <family val="4"/>
        <charset val="136"/>
      </rPr>
      <t>爰『傳播事務監理計畫』預算凍結</t>
    </r>
    <r>
      <rPr>
        <b/>
        <sz val="14"/>
        <rFont val="Times New Roman"/>
        <family val="1"/>
      </rPr>
      <t>10%</t>
    </r>
    <r>
      <rPr>
        <b/>
        <sz val="14"/>
        <rFont val="標楷體"/>
        <family val="4"/>
        <charset val="136"/>
      </rPr>
      <t>，俟通傳會於</t>
    </r>
    <r>
      <rPr>
        <b/>
        <sz val="14"/>
        <rFont val="Times New Roman"/>
        <family val="1"/>
      </rPr>
      <t>3</t>
    </r>
    <r>
      <rPr>
        <b/>
        <sz val="14"/>
        <rFont val="標楷體"/>
        <family val="4"/>
        <charset val="136"/>
      </rPr>
      <t xml:space="preserve">個月內提出書面報告後，始得動支」。
</t>
    </r>
    <r>
      <rPr>
        <sz val="14"/>
        <rFont val="標楷體"/>
        <family val="4"/>
        <charset val="136"/>
      </rPr>
      <t>二、為鼓勵電視業者投入兒少年節目製播，該會於第</t>
    </r>
    <r>
      <rPr>
        <sz val="14"/>
        <rFont val="Times New Roman"/>
        <family val="1"/>
      </rPr>
      <t>1126</t>
    </r>
    <r>
      <rPr>
        <sz val="14"/>
        <rFont val="標楷體"/>
        <family val="4"/>
        <charset val="136"/>
      </rPr>
      <t>次委員會議決議，核准自</t>
    </r>
    <r>
      <rPr>
        <sz val="14"/>
        <rFont val="Times New Roman"/>
        <family val="1"/>
      </rPr>
      <t>113</t>
    </r>
    <r>
      <rPr>
        <sz val="14"/>
        <rFont val="標楷體"/>
        <family val="4"/>
        <charset val="136"/>
      </rPr>
      <t>年</t>
    </r>
    <r>
      <rPr>
        <sz val="14"/>
        <rFont val="Times New Roman"/>
        <family val="1"/>
      </rPr>
      <t>8</t>
    </r>
    <r>
      <rPr>
        <sz val="14"/>
        <rFont val="標楷體"/>
        <family val="4"/>
        <charset val="136"/>
      </rPr>
      <t>月</t>
    </r>
    <r>
      <rPr>
        <sz val="14"/>
        <rFont val="Times New Roman"/>
        <family val="1"/>
      </rPr>
      <t>13</t>
    </r>
    <r>
      <rPr>
        <sz val="14"/>
        <rFont val="標楷體"/>
        <family val="4"/>
        <charset val="136"/>
      </rPr>
      <t>日起，「公視</t>
    </r>
    <r>
      <rPr>
        <sz val="14"/>
        <rFont val="Times New Roman"/>
        <family val="1"/>
      </rPr>
      <t>3</t>
    </r>
    <r>
      <rPr>
        <sz val="14"/>
        <rFont val="標楷體"/>
        <family val="4"/>
        <charset val="136"/>
      </rPr>
      <t>台」變更為「公視兒少台」，期帶動兒少節目製播產能、品質及發展製播產業鏈。
三、本年截至</t>
    </r>
    <r>
      <rPr>
        <sz val="14"/>
        <rFont val="Times New Roman"/>
        <family val="1"/>
      </rPr>
      <t>4</t>
    </r>
    <r>
      <rPr>
        <sz val="14"/>
        <rFont val="標楷體"/>
        <family val="4"/>
        <charset val="136"/>
      </rPr>
      <t>月底執行數</t>
    </r>
    <r>
      <rPr>
        <sz val="14"/>
        <rFont val="Times New Roman"/>
        <family val="1"/>
      </rPr>
      <t>6,669</t>
    </r>
    <r>
      <rPr>
        <sz val="14"/>
        <rFont val="標楷體"/>
        <family val="4"/>
        <charset val="136"/>
      </rPr>
      <t>千元，預估尚須執行</t>
    </r>
    <r>
      <rPr>
        <sz val="14"/>
        <rFont val="Times New Roman"/>
        <family val="1"/>
      </rPr>
      <t>29,712</t>
    </r>
    <r>
      <rPr>
        <sz val="14"/>
        <rFont val="標楷體"/>
        <family val="4"/>
        <charset val="136"/>
      </rPr>
      <t>千元，全年共需</t>
    </r>
    <r>
      <rPr>
        <sz val="14"/>
        <rFont val="Times New Roman"/>
        <family val="1"/>
      </rPr>
      <t>36,381</t>
    </r>
    <r>
      <rPr>
        <sz val="14"/>
        <rFont val="標楷體"/>
        <family val="4"/>
        <charset val="136"/>
      </rPr>
      <t>千元。</t>
    </r>
    <phoneticPr fontId="32" type="noConversion"/>
  </si>
  <si>
    <r>
      <rPr>
        <sz val="14"/>
        <rFont val="標楷體"/>
        <family val="4"/>
        <charset val="136"/>
      </rPr>
      <t>委保</t>
    </r>
    <r>
      <rPr>
        <sz val="14"/>
        <rFont val="Times New Roman"/>
        <family val="1"/>
      </rPr>
      <t>44</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</si>
  <si>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千元，減列</t>
    </r>
    <r>
      <rPr>
        <sz val="14"/>
        <rFont val="Times New Roman"/>
        <family val="1"/>
      </rPr>
      <t>2,200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個月內向立法院交通委員會提出專案報告並經同意後，始得動支。</t>
    </r>
    <phoneticPr fontId="32" type="noConversion"/>
  </si>
  <si>
    <r>
      <rPr>
        <b/>
        <sz val="14"/>
        <rFont val="標楷體"/>
        <family val="4"/>
        <charset val="136"/>
      </rPr>
      <t>一、建請第</t>
    </r>
    <r>
      <rPr>
        <b/>
        <sz val="14"/>
        <rFont val="Times New Roman"/>
        <family val="1"/>
      </rPr>
      <t>43</t>
    </r>
    <r>
      <rPr>
        <b/>
        <sz val="14"/>
        <rFont val="標楷體"/>
        <family val="4"/>
        <charset val="136"/>
      </rPr>
      <t>至</t>
    </r>
    <r>
      <rPr>
        <b/>
        <sz val="14"/>
        <rFont val="Times New Roman"/>
        <family val="1"/>
      </rPr>
      <t>48</t>
    </r>
    <r>
      <rPr>
        <b/>
        <sz val="14"/>
        <rFont val="標楷體"/>
        <family val="4"/>
        <charset val="136"/>
      </rPr>
      <t>案併案處理，免予減列，並修正提案文字為「</t>
    </r>
    <r>
      <rPr>
        <b/>
        <sz val="14"/>
        <rFont val="Times New Roman"/>
        <family val="1"/>
      </rPr>
      <t>……</t>
    </r>
    <r>
      <rPr>
        <b/>
        <sz val="14"/>
        <rFont val="標楷體"/>
        <family val="4"/>
        <charset val="136"/>
      </rPr>
      <t>爰『傳播事務監理計畫』預算凍結</t>
    </r>
    <r>
      <rPr>
        <b/>
        <sz val="14"/>
        <rFont val="Times New Roman"/>
        <family val="1"/>
      </rPr>
      <t>10%</t>
    </r>
    <r>
      <rPr>
        <b/>
        <sz val="14"/>
        <rFont val="標楷體"/>
        <family val="4"/>
        <charset val="136"/>
      </rPr>
      <t>，俟通傳會於</t>
    </r>
    <r>
      <rPr>
        <b/>
        <sz val="14"/>
        <rFont val="Times New Roman"/>
        <family val="1"/>
      </rPr>
      <t>3</t>
    </r>
    <r>
      <rPr>
        <b/>
        <sz val="14"/>
        <rFont val="標楷體"/>
        <family val="4"/>
        <charset val="136"/>
      </rPr>
      <t xml:space="preserve">個月內提出書面報告後，始得動支」。
</t>
    </r>
    <r>
      <rPr>
        <sz val="14"/>
        <rFont val="標楷體"/>
        <family val="4"/>
        <charset val="136"/>
      </rPr>
      <t>二、同第</t>
    </r>
    <r>
      <rPr>
        <sz val="14"/>
        <rFont val="Times New Roman"/>
        <family val="1"/>
      </rPr>
      <t>43</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6,669</t>
    </r>
    <r>
      <rPr>
        <sz val="14"/>
        <rFont val="標楷體"/>
        <family val="4"/>
        <charset val="136"/>
      </rPr>
      <t>千元，預估尚須執行</t>
    </r>
    <r>
      <rPr>
        <sz val="14"/>
        <rFont val="Times New Roman"/>
        <family val="1"/>
      </rPr>
      <t>29,712</t>
    </r>
    <r>
      <rPr>
        <sz val="14"/>
        <rFont val="標楷體"/>
        <family val="4"/>
        <charset val="136"/>
      </rPr>
      <t>千元，全年共需</t>
    </r>
    <r>
      <rPr>
        <sz val="14"/>
        <rFont val="Times New Roman"/>
        <family val="1"/>
      </rPr>
      <t>36,381</t>
    </r>
    <r>
      <rPr>
        <sz val="14"/>
        <rFont val="標楷體"/>
        <family val="4"/>
        <charset val="136"/>
      </rPr>
      <t>千元。</t>
    </r>
    <phoneticPr fontId="32" type="noConversion"/>
  </si>
  <si>
    <r>
      <rPr>
        <sz val="14"/>
        <rFont val="標楷體"/>
        <family val="4"/>
        <charset val="136"/>
      </rPr>
      <t>委保</t>
    </r>
    <r>
      <rPr>
        <sz val="14"/>
        <rFont val="Times New Roman"/>
        <family val="1"/>
      </rPr>
      <t>45</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</si>
  <si>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千元，凍結</t>
    </r>
    <r>
      <rPr>
        <sz val="14"/>
        <rFont val="Times New Roman"/>
        <family val="1"/>
      </rPr>
      <t>25%</t>
    </r>
    <r>
      <rPr>
        <sz val="14"/>
        <rFont val="標楷體"/>
        <family val="4"/>
        <charset val="136"/>
      </rPr>
      <t>，俟相關進度及檢討提交書面報告後，始得動支。</t>
    </r>
    <phoneticPr fontId="32" type="noConversion"/>
  </si>
  <si>
    <r>
      <rPr>
        <b/>
        <sz val="14"/>
        <rFont val="標楷體"/>
        <family val="4"/>
        <charset val="136"/>
      </rPr>
      <t>一、建請第</t>
    </r>
    <r>
      <rPr>
        <b/>
        <sz val="14"/>
        <rFont val="Times New Roman"/>
        <family val="1"/>
      </rPr>
      <t>43</t>
    </r>
    <r>
      <rPr>
        <b/>
        <sz val="14"/>
        <rFont val="標楷體"/>
        <family val="4"/>
        <charset val="136"/>
      </rPr>
      <t>至</t>
    </r>
    <r>
      <rPr>
        <b/>
        <sz val="14"/>
        <rFont val="Times New Roman"/>
        <family val="1"/>
      </rPr>
      <t>48</t>
    </r>
    <r>
      <rPr>
        <b/>
        <sz val="14"/>
        <rFont val="標楷體"/>
        <family val="4"/>
        <charset val="136"/>
      </rPr>
      <t>案併案處理，並修正提案文字為「</t>
    </r>
    <r>
      <rPr>
        <b/>
        <sz val="14"/>
        <rFont val="Times New Roman"/>
        <family val="1"/>
      </rPr>
      <t>……</t>
    </r>
    <r>
      <rPr>
        <b/>
        <sz val="14"/>
        <rFont val="標楷體"/>
        <family val="4"/>
        <charset val="136"/>
      </rPr>
      <t>爰『傳播事務監理計畫』預算凍結</t>
    </r>
    <r>
      <rPr>
        <b/>
        <sz val="14"/>
        <rFont val="Times New Roman"/>
        <family val="1"/>
      </rPr>
      <t>10%</t>
    </r>
    <r>
      <rPr>
        <b/>
        <sz val="14"/>
        <rFont val="標楷體"/>
        <family val="4"/>
        <charset val="136"/>
      </rPr>
      <t>，俟通傳會於</t>
    </r>
    <r>
      <rPr>
        <b/>
        <sz val="14"/>
        <rFont val="Times New Roman"/>
        <family val="1"/>
      </rPr>
      <t>3</t>
    </r>
    <r>
      <rPr>
        <b/>
        <sz val="14"/>
        <rFont val="標楷體"/>
        <family val="4"/>
        <charset val="136"/>
      </rPr>
      <t xml:space="preserve">個月內提出書面報告後，始得動支」。
</t>
    </r>
    <r>
      <rPr>
        <sz val="14"/>
        <rFont val="標楷體"/>
        <family val="4"/>
        <charset val="136"/>
      </rPr>
      <t>二、同第</t>
    </r>
    <r>
      <rPr>
        <sz val="14"/>
        <rFont val="Times New Roman"/>
        <family val="1"/>
      </rPr>
      <t>43</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6,669</t>
    </r>
    <r>
      <rPr>
        <sz val="14"/>
        <rFont val="標楷體"/>
        <family val="4"/>
        <charset val="136"/>
      </rPr>
      <t>千元，預估尚須執行</t>
    </r>
    <r>
      <rPr>
        <sz val="14"/>
        <rFont val="Times New Roman"/>
        <family val="1"/>
      </rPr>
      <t>29,712</t>
    </r>
    <r>
      <rPr>
        <sz val="14"/>
        <rFont val="標楷體"/>
        <family val="4"/>
        <charset val="136"/>
      </rPr>
      <t>千元，全年共需</t>
    </r>
    <r>
      <rPr>
        <sz val="14"/>
        <rFont val="Times New Roman"/>
        <family val="1"/>
      </rPr>
      <t>36,381</t>
    </r>
    <r>
      <rPr>
        <sz val="14"/>
        <rFont val="標楷體"/>
        <family val="4"/>
        <charset val="136"/>
      </rPr>
      <t>千元。</t>
    </r>
    <phoneticPr fontId="32" type="noConversion"/>
  </si>
  <si>
    <r>
      <rPr>
        <sz val="14"/>
        <rFont val="標楷體"/>
        <family val="4"/>
        <charset val="136"/>
      </rPr>
      <t>委保</t>
    </r>
    <r>
      <rPr>
        <sz val="14"/>
        <rFont val="Times New Roman"/>
        <family val="1"/>
      </rPr>
      <t>46</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</si>
  <si>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千元，建議凍結</t>
    </r>
    <r>
      <rPr>
        <sz val="14"/>
        <rFont val="Times New Roman"/>
        <family val="1"/>
      </rPr>
      <t>10 %</t>
    </r>
    <r>
      <rPr>
        <sz val="14"/>
        <rFont val="標楷體"/>
        <family val="4"/>
        <charset val="136"/>
      </rPr>
      <t>，待針對如何有效提升我國兒少年收視節目製播量能，向交通委員會提出書面報告，經同意後，始得動支。</t>
    </r>
    <phoneticPr fontId="32" type="noConversion"/>
  </si>
  <si>
    <r>
      <rPr>
        <sz val="14"/>
        <rFont val="標楷體"/>
        <family val="4"/>
        <charset val="136"/>
      </rPr>
      <t>委保</t>
    </r>
    <r>
      <rPr>
        <sz val="14"/>
        <rFont val="Times New Roman"/>
        <family val="1"/>
      </rPr>
      <t>47</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</si>
  <si>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千元，凍結</t>
    </r>
    <r>
      <rPr>
        <sz val="14"/>
        <rFont val="Times New Roman"/>
        <family val="1"/>
      </rPr>
      <t>10 %</t>
    </r>
    <r>
      <rPr>
        <sz val="14"/>
        <rFont val="標楷體"/>
        <family val="4"/>
        <charset val="136"/>
      </rPr>
      <t>，俟通傳會於三個月內，針對如何促進電視產業自製國內兒少節目、提升業者投入兒少節目製作意願，向立法院交通委員會提出書面報告後，始得動支。</t>
    </r>
    <phoneticPr fontId="32" type="noConversion"/>
  </si>
  <si>
    <r>
      <rPr>
        <b/>
        <sz val="14"/>
        <rFont val="標楷體"/>
        <family val="4"/>
        <charset val="136"/>
      </rPr>
      <t>建請第</t>
    </r>
    <r>
      <rPr>
        <b/>
        <sz val="14"/>
        <rFont val="Times New Roman"/>
        <family val="1"/>
      </rPr>
      <t>43</t>
    </r>
    <r>
      <rPr>
        <b/>
        <sz val="14"/>
        <rFont val="標楷體"/>
        <family val="4"/>
        <charset val="136"/>
      </rPr>
      <t>至</t>
    </r>
    <r>
      <rPr>
        <b/>
        <sz val="14"/>
        <rFont val="Times New Roman"/>
        <family val="1"/>
      </rPr>
      <t>48</t>
    </r>
    <r>
      <rPr>
        <b/>
        <sz val="14"/>
        <rFont val="標楷體"/>
        <family val="4"/>
        <charset val="136"/>
      </rPr>
      <t>案併案處理</t>
    </r>
    <r>
      <rPr>
        <b/>
        <sz val="14"/>
        <rFont val="Times New Roman"/>
        <family val="1"/>
      </rPr>
      <t>(</t>
    </r>
    <r>
      <rPr>
        <b/>
        <sz val="14"/>
        <rFont val="標楷體"/>
        <family val="4"/>
        <charset val="136"/>
      </rPr>
      <t>本會遵照辦理，惟礙於委員會保留提案未審查</t>
    </r>
    <r>
      <rPr>
        <b/>
        <sz val="14"/>
        <rFont val="Times New Roman"/>
        <family val="1"/>
      </rPr>
      <t>)</t>
    </r>
    <r>
      <rPr>
        <b/>
        <sz val="14"/>
        <rFont val="標楷體"/>
        <family val="4"/>
        <charset val="136"/>
      </rPr>
      <t>。</t>
    </r>
    <phoneticPr fontId="32" type="noConversion"/>
  </si>
  <si>
    <r>
      <rPr>
        <sz val="14"/>
        <rFont val="標楷體"/>
        <family val="4"/>
        <charset val="136"/>
      </rPr>
      <t>委保</t>
    </r>
    <r>
      <rPr>
        <sz val="14"/>
        <rFont val="Times New Roman"/>
        <family val="1"/>
      </rPr>
      <t>48</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</si>
  <si>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千元凍結</t>
    </r>
    <r>
      <rPr>
        <sz val="14"/>
        <rFont val="Times New Roman"/>
        <family val="1"/>
      </rPr>
      <t>10%</t>
    </r>
    <r>
      <rPr>
        <sz val="14"/>
        <rFont val="標楷體"/>
        <family val="4"/>
        <charset val="136"/>
      </rPr>
      <t>，俟通傳會於一個月內向交通委員會提交專案報告，經同意後，使得動支。</t>
    </r>
    <phoneticPr fontId="32" type="noConversion"/>
  </si>
  <si>
    <r>
      <rPr>
        <b/>
        <sz val="14"/>
        <rFont val="標楷體"/>
        <family val="4"/>
        <charset val="136"/>
      </rPr>
      <t>一、建請第</t>
    </r>
    <r>
      <rPr>
        <b/>
        <sz val="14"/>
        <rFont val="Times New Roman"/>
        <family val="1"/>
      </rPr>
      <t>43</t>
    </r>
    <r>
      <rPr>
        <b/>
        <sz val="14"/>
        <rFont val="標楷體"/>
        <family val="4"/>
        <charset val="136"/>
      </rPr>
      <t>至</t>
    </r>
    <r>
      <rPr>
        <b/>
        <sz val="14"/>
        <rFont val="Times New Roman"/>
        <family val="1"/>
      </rPr>
      <t>48</t>
    </r>
    <r>
      <rPr>
        <b/>
        <sz val="14"/>
        <rFont val="標楷體"/>
        <family val="4"/>
        <charset val="136"/>
      </rPr>
      <t>案併案處理，並修正提案文字為「</t>
    </r>
    <r>
      <rPr>
        <b/>
        <sz val="14"/>
        <rFont val="Times New Roman"/>
        <family val="1"/>
      </rPr>
      <t>……</t>
    </r>
    <r>
      <rPr>
        <b/>
        <sz val="14"/>
        <rFont val="標楷體"/>
        <family val="4"/>
        <charset val="136"/>
      </rPr>
      <t>爰『傳播事務監理計畫』預算凍結</t>
    </r>
    <r>
      <rPr>
        <b/>
        <sz val="14"/>
        <rFont val="Times New Roman"/>
        <family val="1"/>
      </rPr>
      <t>10%</t>
    </r>
    <r>
      <rPr>
        <b/>
        <sz val="14"/>
        <rFont val="標楷體"/>
        <family val="4"/>
        <charset val="136"/>
      </rPr>
      <t>，俟通傳會於</t>
    </r>
    <r>
      <rPr>
        <b/>
        <sz val="14"/>
        <rFont val="Times New Roman"/>
        <family val="1"/>
      </rPr>
      <t>3</t>
    </r>
    <r>
      <rPr>
        <b/>
        <sz val="14"/>
        <rFont val="標楷體"/>
        <family val="4"/>
        <charset val="136"/>
      </rPr>
      <t>個月內提出書面報告後，始得動支」。</t>
    </r>
    <r>
      <rPr>
        <sz val="14"/>
        <rFont val="Times New Roman"/>
        <family val="1"/>
      </rPr>
      <t xml:space="preserve">
</t>
    </r>
    <r>
      <rPr>
        <sz val="14"/>
        <rFont val="標楷體"/>
        <family val="4"/>
        <charset val="136"/>
      </rPr>
      <t>二、同第</t>
    </r>
    <r>
      <rPr>
        <sz val="14"/>
        <rFont val="Times New Roman"/>
        <family val="1"/>
      </rPr>
      <t>43</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6,669</t>
    </r>
    <r>
      <rPr>
        <sz val="14"/>
        <rFont val="標楷體"/>
        <family val="4"/>
        <charset val="136"/>
      </rPr>
      <t>千元，預估尚須執行</t>
    </r>
    <r>
      <rPr>
        <sz val="14"/>
        <rFont val="Times New Roman"/>
        <family val="1"/>
      </rPr>
      <t>29,712</t>
    </r>
    <r>
      <rPr>
        <sz val="14"/>
        <rFont val="標楷體"/>
        <family val="4"/>
        <charset val="136"/>
      </rPr>
      <t>千元，全年共需</t>
    </r>
    <r>
      <rPr>
        <sz val="14"/>
        <rFont val="Times New Roman"/>
        <family val="1"/>
      </rPr>
      <t>36,381</t>
    </r>
    <r>
      <rPr>
        <sz val="14"/>
        <rFont val="標楷體"/>
        <family val="4"/>
        <charset val="136"/>
      </rPr>
      <t>千元。</t>
    </r>
    <phoneticPr fontId="32" type="noConversion"/>
  </si>
  <si>
    <r>
      <rPr>
        <sz val="14"/>
        <rFont val="標楷體"/>
        <family val="4"/>
        <charset val="136"/>
      </rPr>
      <t>委保</t>
    </r>
    <r>
      <rPr>
        <sz val="14"/>
        <rFont val="Times New Roman"/>
        <family val="1"/>
      </rPr>
      <t>49</t>
    </r>
  </si>
  <si>
    <r>
      <rPr>
        <sz val="14"/>
        <rFont val="標楷體"/>
        <family val="4"/>
        <charset val="136"/>
      </rPr>
      <t>「傳播事務監理計畫」編列</t>
    </r>
    <r>
      <rPr>
        <sz val="14"/>
        <rFont val="Times New Roman"/>
        <family val="1"/>
      </rPr>
      <t>3,638</t>
    </r>
    <r>
      <rPr>
        <sz val="14"/>
        <rFont val="標楷體"/>
        <family val="4"/>
        <charset val="136"/>
      </rPr>
      <t>萬</t>
    </r>
    <r>
      <rPr>
        <sz val="14"/>
        <rFont val="Times New Roman"/>
        <family val="1"/>
      </rPr>
      <t>1</t>
    </r>
    <r>
      <rPr>
        <sz val="14"/>
        <rFont val="標楷體"/>
        <family val="4"/>
        <charset val="136"/>
      </rPr>
      <t>千元，凍結</t>
    </r>
    <r>
      <rPr>
        <sz val="14"/>
        <rFont val="Times New Roman"/>
        <family val="1"/>
      </rPr>
      <t>10%</t>
    </r>
    <r>
      <rPr>
        <sz val="14"/>
        <rFont val="標楷體"/>
        <family val="4"/>
        <charset val="136"/>
      </rPr>
      <t>，俟通傳會就如何加強新聞媒體素養及職業倫理認知，遏止釣魚式標題及假訊息氾濫，於三個月內向交通委員會提出書面報告後，始得動支。</t>
    </r>
    <phoneticPr fontId="32" type="noConversion"/>
  </si>
  <si>
    <r>
      <rPr>
        <sz val="14"/>
        <rFont val="標楷體"/>
        <family val="4"/>
        <charset val="136"/>
      </rPr>
      <t>委保</t>
    </r>
    <r>
      <rPr>
        <sz val="14"/>
        <rFont val="Times New Roman"/>
        <family val="1"/>
      </rPr>
      <t>50</t>
    </r>
  </si>
  <si>
    <r>
      <rPr>
        <sz val="14"/>
        <rFont val="標楷體"/>
        <family val="4"/>
        <charset val="136"/>
      </rPr>
      <t>「傳播事務監理計畫</t>
    </r>
    <r>
      <rPr>
        <sz val="14"/>
        <rFont val="Times New Roman"/>
        <family val="1"/>
      </rPr>
      <t>-</t>
    </r>
    <r>
      <rPr>
        <sz val="14"/>
        <rFont val="標楷體"/>
        <family val="4"/>
        <charset val="136"/>
      </rPr>
      <t>專業服務費」編列</t>
    </r>
    <r>
      <rPr>
        <sz val="14"/>
        <rFont val="Times New Roman"/>
        <family val="1"/>
      </rPr>
      <t>2,021</t>
    </r>
    <r>
      <rPr>
        <sz val="14"/>
        <rFont val="標楷體"/>
        <family val="4"/>
        <charset val="136"/>
      </rPr>
      <t>萬</t>
    </r>
    <r>
      <rPr>
        <sz val="14"/>
        <rFont val="Times New Roman"/>
        <family val="1"/>
      </rPr>
      <t>7</t>
    </r>
    <r>
      <rPr>
        <sz val="14"/>
        <rFont val="標楷體"/>
        <family val="4"/>
        <charset val="136"/>
      </rPr>
      <t>千元，相關訴訟費用之編列造成國家濫用公帑之惡感，爰本預算全數刪除。</t>
    </r>
    <phoneticPr fontId="32" type="noConversion"/>
  </si>
  <si>
    <r>
      <rPr>
        <b/>
        <sz val="14"/>
        <rFont val="標楷體"/>
        <family val="4"/>
        <charset val="136"/>
      </rPr>
      <t>一、建請免予減列，並修正提案文字為「爰提案凍結</t>
    </r>
    <r>
      <rPr>
        <b/>
        <sz val="14"/>
        <rFont val="Times New Roman"/>
        <family val="1"/>
      </rPr>
      <t>10%</t>
    </r>
    <r>
      <rPr>
        <b/>
        <sz val="14"/>
        <rFont val="標楷體"/>
        <family val="4"/>
        <charset val="136"/>
      </rPr>
      <t>，請通傳會提出相關辦理情形之書面報告後，始得動支」。</t>
    </r>
    <r>
      <rPr>
        <sz val="14"/>
        <rFont val="Times New Roman"/>
        <family val="1"/>
      </rPr>
      <t xml:space="preserve">
</t>
    </r>
    <r>
      <rPr>
        <sz val="14"/>
        <rFont val="標楷體"/>
        <family val="4"/>
        <charset val="136"/>
      </rPr>
      <t>二、國家通訊傳播委員所監理之廣電媒體具公益性，涉及公眾資訊接收權及社會公共利益，裁處案件皆依法有據；若刪除相關預算，廣電業者之執照申設、評鑑及換照諮詢會議未能依法召開，將影響廣播電視媒體業者經營權益；另該會本撙節原則，妥善規劃整體財務資源，以支應通訊傳播監理業務所需各項支出，達成基金設立目的。
三、本項預算截至</t>
    </r>
    <r>
      <rPr>
        <sz val="14"/>
        <rFont val="Times New Roman"/>
        <family val="1"/>
      </rPr>
      <t>4</t>
    </r>
    <r>
      <rPr>
        <sz val="14"/>
        <rFont val="標楷體"/>
        <family val="4"/>
        <charset val="136"/>
      </rPr>
      <t>月底執行數</t>
    </r>
    <r>
      <rPr>
        <sz val="14"/>
        <rFont val="Times New Roman"/>
        <family val="1"/>
      </rPr>
      <t>4,009</t>
    </r>
    <r>
      <rPr>
        <sz val="14"/>
        <rFont val="標楷體"/>
        <family val="4"/>
        <charset val="136"/>
      </rPr>
      <t>元，預估尚須執行</t>
    </r>
    <r>
      <rPr>
        <sz val="14"/>
        <rFont val="Times New Roman"/>
        <family val="1"/>
      </rPr>
      <t>16,208</t>
    </r>
    <r>
      <rPr>
        <sz val="14"/>
        <rFont val="標楷體"/>
        <family val="4"/>
        <charset val="136"/>
      </rPr>
      <t>千元，全年共需</t>
    </r>
    <r>
      <rPr>
        <sz val="14"/>
        <rFont val="Times New Roman"/>
        <family val="1"/>
      </rPr>
      <t>20,217</t>
    </r>
    <r>
      <rPr>
        <sz val="14"/>
        <rFont val="標楷體"/>
        <family val="4"/>
        <charset val="136"/>
      </rPr>
      <t>千元。</t>
    </r>
    <phoneticPr fontId="32" type="noConversion"/>
  </si>
  <si>
    <r>
      <rPr>
        <sz val="14"/>
        <rFont val="標楷體"/>
        <family val="4"/>
        <charset val="136"/>
      </rPr>
      <t>委保</t>
    </r>
    <r>
      <rPr>
        <sz val="14"/>
        <rFont val="Times New Roman"/>
        <family val="1"/>
      </rPr>
      <t>51</t>
    </r>
  </si>
  <si>
    <r>
      <rPr>
        <sz val="14"/>
        <rFont val="標楷體"/>
        <family val="4"/>
        <charset val="136"/>
      </rPr>
      <t>「傳播事務監理計畫</t>
    </r>
    <r>
      <rPr>
        <sz val="14"/>
        <rFont val="Times New Roman"/>
        <family val="1"/>
      </rPr>
      <t>-</t>
    </r>
    <r>
      <rPr>
        <sz val="14"/>
        <rFont val="標楷體"/>
        <family val="4"/>
        <charset val="136"/>
      </rPr>
      <t>專業服務費」編列</t>
    </r>
    <r>
      <rPr>
        <sz val="14"/>
        <rFont val="Times New Roman"/>
        <family val="1"/>
      </rPr>
      <t>2,021</t>
    </r>
    <r>
      <rPr>
        <sz val="14"/>
        <rFont val="標楷體"/>
        <family val="4"/>
        <charset val="136"/>
      </rPr>
      <t>萬</t>
    </r>
    <r>
      <rPr>
        <sz val="14"/>
        <rFont val="Times New Roman"/>
        <family val="1"/>
      </rPr>
      <t>7</t>
    </r>
    <r>
      <rPr>
        <sz val="14"/>
        <rFont val="標楷體"/>
        <family val="4"/>
        <charset val="136"/>
      </rPr>
      <t>千元，通傳會訴訟費用支出情形，部分案件引發社會質疑，爰提案刪除</t>
    </r>
    <r>
      <rPr>
        <sz val="14"/>
        <rFont val="Times New Roman"/>
        <family val="1"/>
      </rPr>
      <t>600</t>
    </r>
    <r>
      <rPr>
        <sz val="14"/>
        <rFont val="標楷體"/>
        <family val="4"/>
        <charset val="136"/>
      </rPr>
      <t>萬元。</t>
    </r>
    <phoneticPr fontId="32" type="noConversion"/>
  </si>
  <si>
    <r>
      <rPr>
        <b/>
        <sz val="14"/>
        <rFont val="標楷體"/>
        <family val="4"/>
        <charset val="136"/>
      </rPr>
      <t>一、建請免予減列，並修正提案文字為「爰提案凍結</t>
    </r>
    <r>
      <rPr>
        <b/>
        <sz val="14"/>
        <rFont val="Times New Roman"/>
        <family val="1"/>
      </rPr>
      <t>10%</t>
    </r>
    <r>
      <rPr>
        <b/>
        <sz val="14"/>
        <rFont val="標楷體"/>
        <family val="4"/>
        <charset val="136"/>
      </rPr>
      <t>，請通傳會提出相關辦理情形之書面報告後，始得動支」。</t>
    </r>
    <r>
      <rPr>
        <sz val="14"/>
        <rFont val="Times New Roman"/>
        <family val="1"/>
      </rPr>
      <t xml:space="preserve">
</t>
    </r>
    <r>
      <rPr>
        <sz val="14"/>
        <rFont val="標楷體"/>
        <family val="4"/>
        <charset val="136"/>
      </rPr>
      <t>二、國家通訊傳播委員所監理之廣電媒體具公益性，涉及公眾資訊接收權及社會公共利益，裁處案件皆依法有據；對於該會之監理，業者不服行政處分本可提起行政救濟，相關訴訟案之進行，亦有助釐清社會爭議，爰該會編列相關訴訟費用預算，係以提升訴訟之品質暨符合訴訟法之要求，並無動用公帑進行與政治相關之訴訟行為。
三、本項預算截至</t>
    </r>
    <r>
      <rPr>
        <sz val="14"/>
        <rFont val="Times New Roman"/>
        <family val="1"/>
      </rPr>
      <t>4</t>
    </r>
    <r>
      <rPr>
        <sz val="14"/>
        <rFont val="標楷體"/>
        <family val="4"/>
        <charset val="136"/>
      </rPr>
      <t>月底執行數</t>
    </r>
    <r>
      <rPr>
        <sz val="14"/>
        <rFont val="Times New Roman"/>
        <family val="1"/>
      </rPr>
      <t>4,009</t>
    </r>
    <r>
      <rPr>
        <sz val="14"/>
        <rFont val="標楷體"/>
        <family val="4"/>
        <charset val="136"/>
      </rPr>
      <t>元，預估尚須執行</t>
    </r>
    <r>
      <rPr>
        <sz val="14"/>
        <rFont val="Times New Roman"/>
        <family val="1"/>
      </rPr>
      <t>16,208</t>
    </r>
    <r>
      <rPr>
        <sz val="14"/>
        <rFont val="標楷體"/>
        <family val="4"/>
        <charset val="136"/>
      </rPr>
      <t>千元，全年共需</t>
    </r>
    <r>
      <rPr>
        <sz val="14"/>
        <rFont val="Times New Roman"/>
        <family val="1"/>
      </rPr>
      <t>20,217</t>
    </r>
    <r>
      <rPr>
        <sz val="14"/>
        <rFont val="標楷體"/>
        <family val="4"/>
        <charset val="136"/>
      </rPr>
      <t>千元。</t>
    </r>
    <phoneticPr fontId="32" type="noConversion"/>
  </si>
  <si>
    <r>
      <rPr>
        <sz val="14"/>
        <rFont val="標楷體"/>
        <family val="4"/>
        <charset val="136"/>
      </rPr>
      <t>委保</t>
    </r>
    <r>
      <rPr>
        <sz val="14"/>
        <rFont val="Times New Roman"/>
        <family val="1"/>
      </rPr>
      <t>52</t>
    </r>
  </si>
  <si>
    <r>
      <rPr>
        <sz val="14"/>
        <rFont val="標楷體"/>
        <family val="4"/>
        <charset val="136"/>
      </rPr>
      <t>「傳播事務監理計畫</t>
    </r>
    <r>
      <rPr>
        <sz val="14"/>
        <rFont val="Times New Roman"/>
        <family val="1"/>
      </rPr>
      <t>-</t>
    </r>
    <r>
      <rPr>
        <sz val="14"/>
        <rFont val="標楷體"/>
        <family val="4"/>
        <charset val="136"/>
      </rPr>
      <t>專業服務費」編列</t>
    </r>
    <r>
      <rPr>
        <sz val="14"/>
        <rFont val="Times New Roman"/>
        <family val="1"/>
      </rPr>
      <t>2,021</t>
    </r>
    <r>
      <rPr>
        <sz val="14"/>
        <rFont val="標楷體"/>
        <family val="4"/>
        <charset val="136"/>
      </rPr>
      <t>萬</t>
    </r>
    <r>
      <rPr>
        <sz val="14"/>
        <rFont val="Times New Roman"/>
        <family val="1"/>
      </rPr>
      <t>7</t>
    </r>
    <r>
      <rPr>
        <sz val="14"/>
        <rFont val="標楷體"/>
        <family val="4"/>
        <charset val="136"/>
      </rPr>
      <t>千元，我國電視兒童節目製作總時數逐年下滑，爰凍結</t>
    </r>
    <r>
      <rPr>
        <sz val="14"/>
        <rFont val="Times New Roman"/>
        <family val="1"/>
      </rPr>
      <t>400</t>
    </r>
    <r>
      <rPr>
        <sz val="14"/>
        <rFont val="標楷體"/>
        <family val="4"/>
        <charset val="136"/>
      </rPr>
      <t>萬元，俟通傳會向立法院交通委員會提出書面報告後，始得動支。</t>
    </r>
    <phoneticPr fontId="32" type="noConversion"/>
  </si>
  <si>
    <r>
      <rPr>
        <b/>
        <sz val="14"/>
        <rFont val="標楷體"/>
        <family val="4"/>
        <charset val="136"/>
      </rPr>
      <t>一、建請修正提案文字為「爰提案凍結</t>
    </r>
    <r>
      <rPr>
        <b/>
        <sz val="14"/>
        <rFont val="Times New Roman"/>
        <family val="1"/>
      </rPr>
      <t>10%</t>
    </r>
    <r>
      <rPr>
        <b/>
        <sz val="14"/>
        <rFont val="標楷體"/>
        <family val="4"/>
        <charset val="136"/>
      </rPr>
      <t>，請通傳會提出書面報告後，始得動支」。</t>
    </r>
    <r>
      <rPr>
        <sz val="14"/>
        <rFont val="Times New Roman"/>
        <family val="1"/>
      </rPr>
      <t xml:space="preserve">
</t>
    </r>
    <r>
      <rPr>
        <sz val="14"/>
        <rFont val="標楷體"/>
        <family val="4"/>
        <charset val="136"/>
      </rPr>
      <t>二、為鼓勵電視業者投入兒少年節目製播，該會於第</t>
    </r>
    <r>
      <rPr>
        <sz val="14"/>
        <rFont val="Times New Roman"/>
        <family val="1"/>
      </rPr>
      <t>1126</t>
    </r>
    <r>
      <rPr>
        <sz val="14"/>
        <rFont val="標楷體"/>
        <family val="4"/>
        <charset val="136"/>
      </rPr>
      <t>次委員會議決議，核准自</t>
    </r>
    <r>
      <rPr>
        <sz val="14"/>
        <rFont val="Times New Roman"/>
        <family val="1"/>
      </rPr>
      <t>113</t>
    </r>
    <r>
      <rPr>
        <sz val="14"/>
        <rFont val="標楷體"/>
        <family val="4"/>
        <charset val="136"/>
      </rPr>
      <t>年</t>
    </r>
    <r>
      <rPr>
        <sz val="14"/>
        <rFont val="Times New Roman"/>
        <family val="1"/>
      </rPr>
      <t>8</t>
    </r>
    <r>
      <rPr>
        <sz val="14"/>
        <rFont val="標楷體"/>
        <family val="4"/>
        <charset val="136"/>
      </rPr>
      <t>月</t>
    </r>
    <r>
      <rPr>
        <sz val="14"/>
        <rFont val="Times New Roman"/>
        <family val="1"/>
      </rPr>
      <t>13</t>
    </r>
    <r>
      <rPr>
        <sz val="14"/>
        <rFont val="標楷體"/>
        <family val="4"/>
        <charset val="136"/>
      </rPr>
      <t>日起，「公視</t>
    </r>
    <r>
      <rPr>
        <sz val="14"/>
        <rFont val="Times New Roman"/>
        <family val="1"/>
      </rPr>
      <t>3</t>
    </r>
    <r>
      <rPr>
        <sz val="14"/>
        <rFont val="標楷體"/>
        <family val="4"/>
        <charset val="136"/>
      </rPr>
      <t>台」變更為「公視兒少台」，期帶動兒少節目製播產能、品質及發展製播產業鏈。
三、本項預算截至</t>
    </r>
    <r>
      <rPr>
        <sz val="14"/>
        <rFont val="Times New Roman"/>
        <family val="1"/>
      </rPr>
      <t>4</t>
    </r>
    <r>
      <rPr>
        <sz val="14"/>
        <rFont val="標楷體"/>
        <family val="4"/>
        <charset val="136"/>
      </rPr>
      <t>月底執行數</t>
    </r>
    <r>
      <rPr>
        <sz val="14"/>
        <rFont val="Times New Roman"/>
        <family val="1"/>
      </rPr>
      <t>4,009</t>
    </r>
    <r>
      <rPr>
        <sz val="14"/>
        <rFont val="標楷體"/>
        <family val="4"/>
        <charset val="136"/>
      </rPr>
      <t>元，預估尚須執行</t>
    </r>
    <r>
      <rPr>
        <sz val="14"/>
        <rFont val="Times New Roman"/>
        <family val="1"/>
      </rPr>
      <t>16,208</t>
    </r>
    <r>
      <rPr>
        <sz val="14"/>
        <rFont val="標楷體"/>
        <family val="4"/>
        <charset val="136"/>
      </rPr>
      <t>千元，全年共需</t>
    </r>
    <r>
      <rPr>
        <sz val="14"/>
        <rFont val="Times New Roman"/>
        <family val="1"/>
      </rPr>
      <t>20,217</t>
    </r>
    <r>
      <rPr>
        <sz val="14"/>
        <rFont val="標楷體"/>
        <family val="4"/>
        <charset val="136"/>
      </rPr>
      <t>千元。</t>
    </r>
    <phoneticPr fontId="32" type="noConversion"/>
  </si>
  <si>
    <r>
      <rPr>
        <sz val="14"/>
        <rFont val="標楷體"/>
        <family val="4"/>
        <charset val="136"/>
      </rPr>
      <t>委保</t>
    </r>
    <r>
      <rPr>
        <sz val="14"/>
        <rFont val="Times New Roman"/>
        <family val="1"/>
      </rPr>
      <t>53</t>
    </r>
  </si>
  <si>
    <r>
      <rPr>
        <sz val="14"/>
        <rFont val="標楷體"/>
        <family val="4"/>
        <charset val="136"/>
      </rPr>
      <t>「傳播事務監理計畫</t>
    </r>
    <r>
      <rPr>
        <sz val="14"/>
        <rFont val="Times New Roman"/>
        <family val="1"/>
      </rPr>
      <t>-</t>
    </r>
    <r>
      <rPr>
        <sz val="14"/>
        <rFont val="標楷體"/>
        <family val="4"/>
        <charset val="136"/>
      </rPr>
      <t>廣播電視裁處案件訴訟費及法律諮詢費」編列</t>
    </r>
    <r>
      <rPr>
        <sz val="14"/>
        <rFont val="Times New Roman"/>
        <family val="1"/>
      </rPr>
      <t>429</t>
    </r>
    <r>
      <rPr>
        <sz val="14"/>
        <rFont val="標楷體"/>
        <family val="4"/>
        <charset val="136"/>
      </rPr>
      <t>萬元，通傳會應避免對於言論過度管制造成資訊壟斷之效果，爰減列</t>
    </r>
    <r>
      <rPr>
        <sz val="14"/>
        <rFont val="Times New Roman"/>
        <family val="1"/>
      </rPr>
      <t>429</t>
    </r>
    <r>
      <rPr>
        <sz val="14"/>
        <rFont val="標楷體"/>
        <family val="4"/>
        <charset val="136"/>
      </rPr>
      <t>萬元。</t>
    </r>
    <phoneticPr fontId="32" type="noConversion"/>
  </si>
  <si>
    <r>
      <rPr>
        <b/>
        <sz val="14"/>
        <rFont val="標楷體"/>
        <family val="4"/>
        <charset val="136"/>
      </rPr>
      <t>一、建請免予減列，並修正提案文字為「提案凍結</t>
    </r>
    <r>
      <rPr>
        <b/>
        <sz val="14"/>
        <rFont val="Times New Roman"/>
        <family val="1"/>
      </rPr>
      <t>10%</t>
    </r>
    <r>
      <rPr>
        <b/>
        <sz val="14"/>
        <rFont val="標楷體"/>
        <family val="4"/>
        <charset val="136"/>
      </rPr>
      <t>，請通傳會提出改善書面報告後，始得動支」。</t>
    </r>
    <r>
      <rPr>
        <sz val="14"/>
        <rFont val="Times New Roman"/>
        <family val="1"/>
      </rPr>
      <t xml:space="preserve">
</t>
    </r>
    <r>
      <rPr>
        <sz val="14"/>
        <rFont val="標楷體"/>
        <family val="4"/>
        <charset val="136"/>
      </rPr>
      <t>二、該會監理之廣電媒體具公益性，涉及公眾資訊接收權及社會公共利益，裁處案件皆依法辦理。該會所涉訴訟案件包含違規核處案及營運監理案，內容違規包含節目分級、廣告化、妨害兒少身心健康、違反事實查證等類型，皆涉及觀眾閱聽權益，相關訴訟費用有其必要性。
三、本項預算截至</t>
    </r>
    <r>
      <rPr>
        <sz val="14"/>
        <rFont val="Times New Roman"/>
        <family val="1"/>
      </rPr>
      <t>4</t>
    </r>
    <r>
      <rPr>
        <sz val="14"/>
        <rFont val="標楷體"/>
        <family val="4"/>
        <charset val="136"/>
      </rPr>
      <t>月底執行數</t>
    </r>
    <r>
      <rPr>
        <sz val="14"/>
        <rFont val="Times New Roman"/>
        <family val="1"/>
      </rPr>
      <t>1,191</t>
    </r>
    <r>
      <rPr>
        <sz val="14"/>
        <rFont val="標楷體"/>
        <family val="4"/>
        <charset val="136"/>
      </rPr>
      <t>千元，預估尚須執行</t>
    </r>
    <r>
      <rPr>
        <sz val="14"/>
        <rFont val="Times New Roman"/>
        <family val="1"/>
      </rPr>
      <t>3,099</t>
    </r>
    <r>
      <rPr>
        <sz val="14"/>
        <rFont val="標楷體"/>
        <family val="4"/>
        <charset val="136"/>
      </rPr>
      <t>千元，全年共需</t>
    </r>
    <r>
      <rPr>
        <sz val="14"/>
        <rFont val="Times New Roman"/>
        <family val="1"/>
      </rPr>
      <t>4,290</t>
    </r>
    <r>
      <rPr>
        <sz val="14"/>
        <rFont val="標楷體"/>
        <family val="4"/>
        <charset val="136"/>
      </rPr>
      <t>千元。</t>
    </r>
    <phoneticPr fontId="32" type="noConversion"/>
  </si>
  <si>
    <r>
      <rPr>
        <sz val="14"/>
        <rFont val="標楷體"/>
        <family val="4"/>
        <charset val="136"/>
      </rPr>
      <t>委保</t>
    </r>
    <r>
      <rPr>
        <sz val="14"/>
        <rFont val="Times New Roman"/>
        <family val="1"/>
      </rPr>
      <t>54</t>
    </r>
  </si>
  <si>
    <r>
      <rPr>
        <sz val="14"/>
        <rFont val="標楷體"/>
        <family val="4"/>
        <charset val="136"/>
      </rPr>
      <t>「傳播事務監理計畫</t>
    </r>
    <r>
      <rPr>
        <sz val="14"/>
        <rFont val="Times New Roman"/>
        <family val="1"/>
      </rPr>
      <t>-</t>
    </r>
    <r>
      <rPr>
        <sz val="14"/>
        <rFont val="標楷體"/>
        <family val="4"/>
        <charset val="136"/>
      </rPr>
      <t>廣播電視裁處案件訴訟費及法律諮詢費」編列</t>
    </r>
    <r>
      <rPr>
        <sz val="14"/>
        <rFont val="Times New Roman"/>
        <family val="1"/>
      </rPr>
      <t>429</t>
    </r>
    <r>
      <rPr>
        <sz val="14"/>
        <rFont val="標楷體"/>
        <family val="4"/>
        <charset val="136"/>
      </rPr>
      <t>萬元，減列該項預算</t>
    </r>
    <r>
      <rPr>
        <sz val="14"/>
        <rFont val="Times New Roman"/>
        <family val="1"/>
      </rPr>
      <t>50%</t>
    </r>
    <r>
      <rPr>
        <sz val="14"/>
        <rFont val="標楷體"/>
        <family val="4"/>
        <charset val="136"/>
      </rPr>
      <t>，並凍結</t>
    </r>
    <r>
      <rPr>
        <sz val="14"/>
        <rFont val="Times New Roman"/>
        <family val="1"/>
      </rPr>
      <t>50%</t>
    </r>
    <r>
      <rPr>
        <sz val="14"/>
        <rFont val="標楷體"/>
        <family val="4"/>
        <charset val="136"/>
      </rPr>
      <t>，俟通傳會於</t>
    </r>
    <r>
      <rPr>
        <sz val="14"/>
        <rFont val="Times New Roman"/>
        <family val="1"/>
      </rPr>
      <t>3</t>
    </r>
    <r>
      <rPr>
        <sz val="14"/>
        <rFont val="標楷體"/>
        <family val="4"/>
        <charset val="136"/>
      </rPr>
      <t>個月內向立法院交通委員會提出專案報告後經同意，始得動支。</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</si>
  <si>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，請通傳會提出書面報告後，始得動支，刪除「經同意」等字。</t>
    </r>
    <r>
      <rPr>
        <sz val="14"/>
        <rFont val="Times New Roman"/>
        <family val="1"/>
      </rPr>
      <t xml:space="preserve">
</t>
    </r>
    <r>
      <rPr>
        <sz val="14"/>
        <rFont val="標楷體"/>
        <family val="4"/>
        <charset val="136"/>
      </rPr>
      <t>二、該會監理之廣電媒體具公益性，涉及公眾資訊接收權及社會公共利益，裁處案件皆依法辦理。該會所涉訴訟案件包含違規核處案及營運監理案，內容違規包含節目分級、廣告化、妨害兒少身心健康、違反事實查證等類型，皆涉及觀眾閱聽權益，相關訴訟費用有其必要性。
三、本項預算截至</t>
    </r>
    <r>
      <rPr>
        <sz val="14"/>
        <rFont val="Times New Roman"/>
        <family val="1"/>
      </rPr>
      <t>4</t>
    </r>
    <r>
      <rPr>
        <sz val="14"/>
        <rFont val="標楷體"/>
        <family val="4"/>
        <charset val="136"/>
      </rPr>
      <t>月底執行數</t>
    </r>
    <r>
      <rPr>
        <sz val="14"/>
        <rFont val="Times New Roman"/>
        <family val="1"/>
      </rPr>
      <t>1,191</t>
    </r>
    <r>
      <rPr>
        <sz val="14"/>
        <rFont val="標楷體"/>
        <family val="4"/>
        <charset val="136"/>
      </rPr>
      <t>千元，預估尚須執行</t>
    </r>
    <r>
      <rPr>
        <sz val="14"/>
        <rFont val="Times New Roman"/>
        <family val="1"/>
      </rPr>
      <t>3,099</t>
    </r>
    <r>
      <rPr>
        <sz val="14"/>
        <rFont val="標楷體"/>
        <family val="4"/>
        <charset val="136"/>
      </rPr>
      <t>千元，全年共需</t>
    </r>
    <r>
      <rPr>
        <sz val="14"/>
        <rFont val="Times New Roman"/>
        <family val="1"/>
      </rPr>
      <t>4,290</t>
    </r>
    <r>
      <rPr>
        <sz val="14"/>
        <rFont val="標楷體"/>
        <family val="4"/>
        <charset val="136"/>
      </rPr>
      <t>千元。</t>
    </r>
    <phoneticPr fontId="32" type="noConversion"/>
  </si>
  <si>
    <r>
      <rPr>
        <sz val="14"/>
        <rFont val="標楷體"/>
        <family val="4"/>
        <charset val="136"/>
      </rPr>
      <t>委保</t>
    </r>
    <r>
      <rPr>
        <sz val="14"/>
        <rFont val="Times New Roman"/>
        <family val="1"/>
      </rPr>
      <t>55</t>
    </r>
  </si>
  <si>
    <r>
      <rPr>
        <sz val="14"/>
        <rFont val="標楷體"/>
        <family val="4"/>
        <charset val="136"/>
      </rPr>
      <t>「傳播事務監理計畫</t>
    </r>
    <r>
      <rPr>
        <sz val="14"/>
        <rFont val="Times New Roman"/>
        <family val="1"/>
      </rPr>
      <t>-</t>
    </r>
    <r>
      <rPr>
        <sz val="14"/>
        <rFont val="標楷體"/>
        <family val="4"/>
        <charset val="136"/>
      </rPr>
      <t>推展費」編列</t>
    </r>
    <r>
      <rPr>
        <sz val="14"/>
        <rFont val="Times New Roman"/>
        <family val="1"/>
      </rPr>
      <t>50</t>
    </r>
    <r>
      <rPr>
        <sz val="14"/>
        <rFont val="標楷體"/>
        <family val="4"/>
        <charset val="136"/>
      </rPr>
      <t>萬元，辦理兒童及少年上網安全教育等宣導活動，然難衡量對提升民眾網路素養等具體貢獻，爰減列</t>
    </r>
    <r>
      <rPr>
        <sz val="14"/>
        <rFont val="Times New Roman"/>
        <family val="1"/>
      </rPr>
      <t>50</t>
    </r>
    <r>
      <rPr>
        <sz val="14"/>
        <rFont val="標楷體"/>
        <family val="4"/>
        <charset val="136"/>
      </rPr>
      <t>萬元。</t>
    </r>
    <phoneticPr fontId="32" type="noConversion"/>
  </si>
  <si>
    <r>
      <rPr>
        <b/>
        <sz val="14"/>
        <rFont val="標楷體"/>
        <family val="4"/>
        <charset val="136"/>
      </rPr>
      <t>一、建請免予減列，並修正提案文字為「提案凍結</t>
    </r>
    <r>
      <rPr>
        <b/>
        <sz val="14"/>
        <rFont val="Times New Roman"/>
        <family val="1"/>
      </rPr>
      <t>10%</t>
    </r>
    <r>
      <rPr>
        <b/>
        <sz val="14"/>
        <rFont val="標楷體"/>
        <family val="4"/>
        <charset val="136"/>
      </rPr>
      <t>，請通傳會提出執行成果書面報告後，始得動支」。</t>
    </r>
    <r>
      <rPr>
        <sz val="14"/>
        <rFont val="Times New Roman"/>
        <family val="1"/>
      </rPr>
      <t xml:space="preserve">
</t>
    </r>
    <r>
      <rPr>
        <sz val="14"/>
        <rFont val="標楷體"/>
        <family val="4"/>
        <charset val="136"/>
      </rPr>
      <t>二、按立法院審查</t>
    </r>
    <r>
      <rPr>
        <sz val="14"/>
        <rFont val="Times New Roman"/>
        <family val="1"/>
      </rPr>
      <t>107</t>
    </r>
    <r>
      <rPr>
        <sz val="14"/>
        <rFont val="標楷體"/>
        <family val="4"/>
        <charset val="136"/>
      </rPr>
      <t>年度中央政府總預算案附屬單位預算等審查總報告決議略以，要求該會應強化媒體識讀推廣，該會遂自</t>
    </r>
    <r>
      <rPr>
        <sz val="14"/>
        <rFont val="Times New Roman"/>
        <family val="1"/>
      </rPr>
      <t>108</t>
    </r>
    <r>
      <rPr>
        <sz val="14"/>
        <rFont val="標楷體"/>
        <family val="4"/>
        <charset val="136"/>
      </rPr>
      <t>年度起規劃辦理「廣電媒體專業素養培訓與公民培力推廣計畫」，有關「推展費」編列，該會係依</t>
    </r>
    <r>
      <rPr>
        <sz val="14"/>
        <rFont val="Times New Roman"/>
        <family val="1"/>
      </rPr>
      <t>112</t>
    </r>
    <r>
      <rPr>
        <sz val="14"/>
        <rFont val="標楷體"/>
        <family val="4"/>
        <charset val="136"/>
      </rPr>
      <t>年行政院主計總處修訂之「附屬單位預算共同項目編列作業規範」，辦理政策宣導之宣傳品經費，應編列於推展費項下之規定辦理。
三、本項預算截至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500</t>
    </r>
    <r>
      <rPr>
        <sz val="14"/>
        <rFont val="標楷體"/>
        <family val="4"/>
        <charset val="136"/>
      </rPr>
      <t>千元，全年共需</t>
    </r>
    <r>
      <rPr>
        <sz val="14"/>
        <rFont val="Times New Roman"/>
        <family val="1"/>
      </rPr>
      <t>500</t>
    </r>
    <r>
      <rPr>
        <sz val="14"/>
        <rFont val="標楷體"/>
        <family val="4"/>
        <charset val="136"/>
      </rPr>
      <t>千元。</t>
    </r>
    <phoneticPr fontId="32" type="noConversion"/>
  </si>
  <si>
    <r>
      <rPr>
        <sz val="14"/>
        <rFont val="標楷體"/>
        <family val="4"/>
        <charset val="136"/>
      </rPr>
      <t>委保</t>
    </r>
    <r>
      <rPr>
        <sz val="14"/>
        <rFont val="Times New Roman"/>
        <family val="1"/>
      </rPr>
      <t>56</t>
    </r>
  </si>
  <si>
    <r>
      <rPr>
        <sz val="14"/>
        <rFont val="標楷體"/>
        <family val="4"/>
        <charset val="136"/>
      </rPr>
      <t>「傳播事務監理計畫</t>
    </r>
    <r>
      <rPr>
        <sz val="14"/>
        <rFont val="Times New Roman"/>
        <family val="1"/>
      </rPr>
      <t>-</t>
    </r>
    <r>
      <rPr>
        <sz val="14"/>
        <rFont val="標楷體"/>
        <family val="4"/>
        <charset val="136"/>
      </rPr>
      <t>推展費」編列</t>
    </r>
    <r>
      <rPr>
        <sz val="14"/>
        <rFont val="Times New Roman"/>
        <family val="1"/>
      </rPr>
      <t>50</t>
    </r>
    <r>
      <rPr>
        <sz val="14"/>
        <rFont val="標楷體"/>
        <family val="4"/>
        <charset val="136"/>
      </rPr>
      <t>萬元，有鑑於該計畫為</t>
    </r>
    <r>
      <rPr>
        <sz val="14"/>
        <rFont val="Times New Roman"/>
        <family val="1"/>
      </rPr>
      <t xml:space="preserve"> 114 </t>
    </r>
    <r>
      <rPr>
        <sz val="14"/>
        <rFont val="標楷體"/>
        <family val="4"/>
        <charset val="136"/>
      </rPr>
      <t>年度新增計畫，爰凍結</t>
    </r>
    <r>
      <rPr>
        <sz val="14"/>
        <rFont val="Times New Roman"/>
        <family val="1"/>
      </rPr>
      <t>10%</t>
    </r>
    <r>
      <rPr>
        <sz val="14"/>
        <rFont val="標楷體"/>
        <family val="4"/>
        <charset val="136"/>
      </rPr>
      <t>，俟通傳會於該筆預算執行半年内向立法院交通委員會提出成效報告並經委員會同意後，始得動支。</t>
    </r>
    <phoneticPr fontId="32" type="noConversion"/>
  </si>
  <si>
    <r>
      <rPr>
        <b/>
        <sz val="14"/>
        <rFont val="標楷體"/>
        <family val="4"/>
        <charset val="136"/>
      </rPr>
      <t>一、建請修正提案文字，刪除「並經委員會同意」等字。</t>
    </r>
    <r>
      <rPr>
        <sz val="14"/>
        <rFont val="Times New Roman"/>
        <family val="1"/>
      </rPr>
      <t xml:space="preserve">
</t>
    </r>
    <r>
      <rPr>
        <sz val="14"/>
        <rFont val="標楷體"/>
        <family val="4"/>
        <charset val="136"/>
      </rPr>
      <t>二、按立法院審查</t>
    </r>
    <r>
      <rPr>
        <sz val="14"/>
        <rFont val="Times New Roman"/>
        <family val="1"/>
      </rPr>
      <t>107</t>
    </r>
    <r>
      <rPr>
        <sz val="14"/>
        <rFont val="標楷體"/>
        <family val="4"/>
        <charset val="136"/>
      </rPr>
      <t>年度中央政府總預算案附屬單位預算等審查總報告決議略以，要求該會應強化媒體識讀推廣，該會遂自</t>
    </r>
    <r>
      <rPr>
        <sz val="14"/>
        <rFont val="Times New Roman"/>
        <family val="1"/>
      </rPr>
      <t>108</t>
    </r>
    <r>
      <rPr>
        <sz val="14"/>
        <rFont val="標楷體"/>
        <family val="4"/>
        <charset val="136"/>
      </rPr>
      <t>年度起規劃辦理「廣電媒體專業素養培訓與公民培力推廣計畫」，有關「推展費」編列，該會係依</t>
    </r>
    <r>
      <rPr>
        <sz val="14"/>
        <rFont val="Times New Roman"/>
        <family val="1"/>
      </rPr>
      <t>112</t>
    </r>
    <r>
      <rPr>
        <sz val="14"/>
        <rFont val="標楷體"/>
        <family val="4"/>
        <charset val="136"/>
      </rPr>
      <t>年行政院主計總處修訂之「附屬單位預算共同項目編列作業規範」，辦理政策宣導之宣傳品經費，應編列於推展費項下之規定辦理。
三、本項預算截至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500</t>
    </r>
    <r>
      <rPr>
        <sz val="14"/>
        <rFont val="標楷體"/>
        <family val="4"/>
        <charset val="136"/>
      </rPr>
      <t>千元，全年共需</t>
    </r>
    <r>
      <rPr>
        <sz val="14"/>
        <rFont val="Times New Roman"/>
        <family val="1"/>
      </rPr>
      <t>500</t>
    </r>
    <r>
      <rPr>
        <sz val="14"/>
        <rFont val="標楷體"/>
        <family val="4"/>
        <charset val="136"/>
      </rPr>
      <t>千元。</t>
    </r>
    <phoneticPr fontId="32" type="noConversion"/>
  </si>
  <si>
    <r>
      <rPr>
        <sz val="14"/>
        <rFont val="標楷體"/>
        <family val="4"/>
        <charset val="136"/>
      </rPr>
      <t>委保</t>
    </r>
    <r>
      <rPr>
        <sz val="14"/>
        <rFont val="Times New Roman"/>
        <family val="1"/>
      </rPr>
      <t>57</t>
    </r>
  </si>
  <si>
    <r>
      <rPr>
        <sz val="14"/>
        <rFont val="標楷體"/>
        <family val="4"/>
        <charset val="136"/>
      </rPr>
      <t>「網際網路傳播計畫」編列</t>
    </r>
    <r>
      <rPr>
        <sz val="14"/>
        <rFont val="Times New Roman"/>
        <family val="1"/>
      </rPr>
      <t>2,645</t>
    </r>
    <r>
      <rPr>
        <sz val="14"/>
        <rFont val="標楷體"/>
        <family val="4"/>
        <charset val="136"/>
      </rPr>
      <t>萬</t>
    </r>
    <r>
      <rPr>
        <sz val="14"/>
        <rFont val="Times New Roman"/>
        <family val="1"/>
      </rPr>
      <t>8</t>
    </r>
    <r>
      <rPr>
        <sz val="14"/>
        <rFont val="標楷體"/>
        <family val="4"/>
        <charset val="136"/>
      </rPr>
      <t>千元，主要辦理委託案，惟多項委託計畫執行率欠佳，爰刪減</t>
    </r>
    <r>
      <rPr>
        <sz val="14"/>
        <rFont val="Times New Roman"/>
        <family val="1"/>
      </rPr>
      <t>10%</t>
    </r>
    <r>
      <rPr>
        <sz val="14"/>
        <rFont val="標楷體"/>
        <family val="4"/>
        <charset val="136"/>
      </rPr>
      <t>並凍結</t>
    </r>
    <r>
      <rPr>
        <sz val="14"/>
        <rFont val="Times New Roman"/>
        <family val="1"/>
      </rPr>
      <t>10%</t>
    </r>
    <r>
      <rPr>
        <sz val="14"/>
        <rFont val="標楷體"/>
        <family val="4"/>
        <charset val="136"/>
      </rPr>
      <t>，俟通傳會於三個月內，向立法院交通委員會提出書面報告後，始得動支。</t>
    </r>
    <phoneticPr fontId="32" type="noConversion"/>
  </si>
  <si>
    <r>
      <rPr>
        <b/>
        <sz val="14"/>
        <rFont val="標楷體"/>
        <family val="4"/>
        <charset val="136"/>
      </rPr>
      <t>一、建請免予減列及凍結，並修正提案文字為「</t>
    </r>
    <r>
      <rPr>
        <b/>
        <sz val="14"/>
        <rFont val="Times New Roman"/>
        <family val="1"/>
      </rPr>
      <t>…</t>
    </r>
    <r>
      <rPr>
        <b/>
        <sz val="14"/>
        <rFont val="標楷體"/>
        <family val="4"/>
        <charset val="136"/>
      </rPr>
      <t>，爰請通傳會於</t>
    </r>
    <r>
      <rPr>
        <b/>
        <sz val="14"/>
        <rFont val="Times New Roman"/>
        <family val="1"/>
      </rPr>
      <t>3</t>
    </r>
    <r>
      <rPr>
        <b/>
        <sz val="14"/>
        <rFont val="標楷體"/>
        <family val="4"/>
        <charset val="136"/>
      </rPr>
      <t>個月內，針對精進計畫管控、說明建置申訴系統之內容，向立法院交通委員會提出書面報告。」</t>
    </r>
    <r>
      <rPr>
        <sz val="14"/>
        <rFont val="Times New Roman"/>
        <family val="1"/>
      </rPr>
      <t xml:space="preserve">
</t>
    </r>
    <r>
      <rPr>
        <sz val="14"/>
        <rFont val="標楷體"/>
        <family val="4"/>
        <charset val="136"/>
      </rPr>
      <t>二、通傳會目前所建置之申訴系統平臺係與衛生福利部合作導入自殺防治議題及其防護機制，並業於</t>
    </r>
    <r>
      <rPr>
        <sz val="14"/>
        <rFont val="Times New Roman"/>
        <family val="1"/>
      </rPr>
      <t>114</t>
    </r>
    <r>
      <rPr>
        <sz val="14"/>
        <rFont val="標楷體"/>
        <family val="4"/>
        <charset val="136"/>
      </rPr>
      <t>年</t>
    </r>
    <r>
      <rPr>
        <sz val="14"/>
        <rFont val="Times New Roman"/>
        <family val="1"/>
      </rPr>
      <t>3</t>
    </r>
    <r>
      <rPr>
        <sz val="14"/>
        <rFont val="標楷體"/>
        <family val="4"/>
        <charset val="136"/>
      </rPr>
      <t>月</t>
    </r>
    <r>
      <rPr>
        <sz val="14"/>
        <rFont val="Times New Roman"/>
        <family val="1"/>
      </rPr>
      <t>14</t>
    </r>
    <r>
      <rPr>
        <sz val="14"/>
        <rFont val="標楷體"/>
        <family val="4"/>
        <charset val="136"/>
      </rPr>
      <t>日正式上線。該會規劃於</t>
    </r>
    <r>
      <rPr>
        <sz val="14"/>
        <rFont val="Times New Roman"/>
        <family val="1"/>
      </rPr>
      <t>114</t>
    </r>
    <r>
      <rPr>
        <sz val="14"/>
        <rFont val="標楷體"/>
        <family val="4"/>
        <charset val="136"/>
      </rPr>
      <t>年度辦理工作項目包含維護及新增申訴系統平臺內容、分析統計申訴系統平臺之申訴案件態樣及處理結果。
三、本年截至</t>
    </r>
    <r>
      <rPr>
        <sz val="14"/>
        <rFont val="Times New Roman"/>
        <family val="1"/>
      </rPr>
      <t>4</t>
    </r>
    <r>
      <rPr>
        <sz val="14"/>
        <rFont val="標楷體"/>
        <family val="4"/>
        <charset val="136"/>
      </rPr>
      <t>月底執行數</t>
    </r>
    <r>
      <rPr>
        <sz val="14"/>
        <rFont val="Times New Roman"/>
        <family val="1"/>
      </rPr>
      <t>204</t>
    </r>
    <r>
      <rPr>
        <sz val="14"/>
        <rFont val="標楷體"/>
        <family val="4"/>
        <charset val="136"/>
      </rPr>
      <t>千元，預估尚須執行</t>
    </r>
    <r>
      <rPr>
        <sz val="14"/>
        <rFont val="Times New Roman"/>
        <family val="1"/>
      </rPr>
      <t>26,254</t>
    </r>
    <r>
      <rPr>
        <sz val="14"/>
        <rFont val="標楷體"/>
        <family val="4"/>
        <charset val="136"/>
      </rPr>
      <t>千元，全年共需</t>
    </r>
    <r>
      <rPr>
        <sz val="14"/>
        <rFont val="Times New Roman"/>
        <family val="1"/>
      </rPr>
      <t>26,458</t>
    </r>
    <r>
      <rPr>
        <sz val="14"/>
        <rFont val="標楷體"/>
        <family val="4"/>
        <charset val="136"/>
      </rPr>
      <t>千元。</t>
    </r>
    <phoneticPr fontId="32" type="noConversion"/>
  </si>
  <si>
    <r>
      <rPr>
        <sz val="14"/>
        <rFont val="標楷體"/>
        <family val="4"/>
        <charset val="136"/>
      </rPr>
      <t>委保</t>
    </r>
    <r>
      <rPr>
        <sz val="14"/>
        <rFont val="Times New Roman"/>
        <family val="1"/>
      </rPr>
      <t>58</t>
    </r>
  </si>
  <si>
    <r>
      <rPr>
        <sz val="14"/>
        <rFont val="標楷體"/>
        <family val="4"/>
        <charset val="136"/>
      </rPr>
      <t>「網際網路傳播計畫」編列</t>
    </r>
    <r>
      <rPr>
        <sz val="14"/>
        <rFont val="Times New Roman"/>
        <family val="1"/>
      </rPr>
      <t>2,645</t>
    </r>
    <r>
      <rPr>
        <sz val="14"/>
        <rFont val="標楷體"/>
        <family val="4"/>
        <charset val="136"/>
      </rPr>
      <t>萬</t>
    </r>
    <r>
      <rPr>
        <sz val="14"/>
        <rFont val="Times New Roman"/>
        <family val="1"/>
      </rPr>
      <t>8</t>
    </r>
    <r>
      <rPr>
        <sz val="14"/>
        <rFont val="標楷體"/>
        <family val="4"/>
        <charset val="136"/>
      </rPr>
      <t>千元，減列</t>
    </r>
    <r>
      <rPr>
        <sz val="14"/>
        <rFont val="Times New Roman"/>
        <family val="1"/>
      </rPr>
      <t>160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個月內向立法院交通委員會提出專案報告並經同意後，始得動支。</t>
    </r>
    <phoneticPr fontId="32" type="noConversion"/>
  </si>
  <si>
    <r>
      <rPr>
        <b/>
        <sz val="14"/>
        <rFont val="標楷體"/>
        <family val="4"/>
        <charset val="136"/>
      </rPr>
      <t>一、建請免予減列及凍結，並修正提案文字為「</t>
    </r>
    <r>
      <rPr>
        <b/>
        <sz val="14"/>
        <rFont val="Times New Roman"/>
        <family val="1"/>
      </rPr>
      <t>…</t>
    </r>
    <r>
      <rPr>
        <b/>
        <sz val="14"/>
        <rFont val="標楷體"/>
        <family val="4"/>
        <charset val="136"/>
      </rPr>
      <t>，爰俟通傳會於</t>
    </r>
    <r>
      <rPr>
        <b/>
        <sz val="14"/>
        <rFont val="Times New Roman"/>
        <family val="1"/>
      </rPr>
      <t>3</t>
    </r>
    <r>
      <rPr>
        <b/>
        <sz val="14"/>
        <rFont val="標楷體"/>
        <family val="4"/>
        <charset val="136"/>
      </rPr>
      <t>個月內向立法院交通委員會提出書面報告後，始得動支。」</t>
    </r>
    <r>
      <rPr>
        <sz val="14"/>
        <rFont val="Times New Roman"/>
        <family val="1"/>
      </rPr>
      <t xml:space="preserve">
</t>
    </r>
    <r>
      <rPr>
        <sz val="14"/>
        <rFont val="標楷體"/>
        <family val="4"/>
        <charset val="136"/>
      </rPr>
      <t>二、網路違法或有害內容由各法令主管機關依法處理。通傳會《網際網路傳播政策白皮書》初稿則以推動自律為原則擘劃相關措施，包含聯手相關部會發展防護機制，敦促平臺業者落實自律作為，並執行素養教育強化使用者數位免疫力與從業人員相關知能等，促進維護安全可信賴的網路環境，尚非毫無推展。
三、本年截至</t>
    </r>
    <r>
      <rPr>
        <sz val="14"/>
        <rFont val="Times New Roman"/>
        <family val="1"/>
      </rPr>
      <t>4</t>
    </r>
    <r>
      <rPr>
        <sz val="14"/>
        <rFont val="標楷體"/>
        <family val="4"/>
        <charset val="136"/>
      </rPr>
      <t>月底執行數</t>
    </r>
    <r>
      <rPr>
        <sz val="14"/>
        <rFont val="Times New Roman"/>
        <family val="1"/>
      </rPr>
      <t>204</t>
    </r>
    <r>
      <rPr>
        <sz val="14"/>
        <rFont val="標楷體"/>
        <family val="4"/>
        <charset val="136"/>
      </rPr>
      <t>千元，預估尚須執行</t>
    </r>
    <r>
      <rPr>
        <sz val="14"/>
        <rFont val="Times New Roman"/>
        <family val="1"/>
      </rPr>
      <t>26,254</t>
    </r>
    <r>
      <rPr>
        <sz val="14"/>
        <rFont val="標楷體"/>
        <family val="4"/>
        <charset val="136"/>
      </rPr>
      <t>千元，全年共需</t>
    </r>
    <r>
      <rPr>
        <sz val="14"/>
        <rFont val="Times New Roman"/>
        <family val="1"/>
      </rPr>
      <t>26,458</t>
    </r>
    <r>
      <rPr>
        <sz val="14"/>
        <rFont val="標楷體"/>
        <family val="4"/>
        <charset val="136"/>
      </rPr>
      <t>千元。</t>
    </r>
    <phoneticPr fontId="32" type="noConversion"/>
  </si>
  <si>
    <r>
      <rPr>
        <sz val="14"/>
        <rFont val="標楷體"/>
        <family val="4"/>
        <charset val="136"/>
      </rPr>
      <t>委保</t>
    </r>
    <r>
      <rPr>
        <sz val="14"/>
        <rFont val="Times New Roman"/>
        <family val="1"/>
      </rPr>
      <t>59</t>
    </r>
  </si>
  <si>
    <r>
      <rPr>
        <sz val="14"/>
        <rFont val="標楷體"/>
        <family val="4"/>
        <charset val="136"/>
      </rPr>
      <t>「網際網路傳播計畫」編列</t>
    </r>
    <r>
      <rPr>
        <sz val="14"/>
        <rFont val="Times New Roman"/>
        <family val="1"/>
      </rPr>
      <t>2,645</t>
    </r>
    <r>
      <rPr>
        <sz val="14"/>
        <rFont val="標楷體"/>
        <family val="4"/>
        <charset val="136"/>
      </rPr>
      <t>萬</t>
    </r>
    <r>
      <rPr>
        <sz val="14"/>
        <rFont val="Times New Roman"/>
        <family val="1"/>
      </rPr>
      <t>8</t>
    </r>
    <r>
      <rPr>
        <sz val="14"/>
        <rFont val="標楷體"/>
        <family val="4"/>
        <charset val="136"/>
      </rPr>
      <t>千元，凍結</t>
    </r>
    <r>
      <rPr>
        <sz val="14"/>
        <rFont val="Times New Roman"/>
        <family val="1"/>
      </rPr>
      <t>10%</t>
    </r>
    <r>
      <rPr>
        <sz val="14"/>
        <rFont val="標楷體"/>
        <family val="4"/>
        <charset val="136"/>
      </rPr>
      <t>，俟通傳會於三個月內向交通委員會提出書面報告後，始得動支。</t>
    </r>
    <phoneticPr fontId="32" type="noConversion"/>
  </si>
  <si>
    <r>
      <rPr>
        <sz val="14"/>
        <rFont val="標楷體"/>
        <family val="4"/>
        <charset val="136"/>
      </rPr>
      <t>委保</t>
    </r>
    <r>
      <rPr>
        <sz val="14"/>
        <rFont val="Times New Roman"/>
        <family val="1"/>
      </rPr>
      <t>60</t>
    </r>
  </si>
  <si>
    <r>
      <rPr>
        <sz val="14"/>
        <rFont val="標楷體"/>
        <family val="4"/>
        <charset val="136"/>
      </rPr>
      <t>「網際網路傳播計畫</t>
    </r>
    <r>
      <rPr>
        <sz val="14"/>
        <rFont val="Times New Roman"/>
        <family val="1"/>
      </rPr>
      <t>-</t>
    </r>
    <r>
      <rPr>
        <sz val="14"/>
        <rFont val="標楷體"/>
        <family val="4"/>
        <charset val="136"/>
      </rPr>
      <t>服務費用」編列</t>
    </r>
    <r>
      <rPr>
        <sz val="14"/>
        <rFont val="Times New Roman"/>
        <family val="1"/>
      </rPr>
      <t>2,589</t>
    </r>
    <r>
      <rPr>
        <sz val="14"/>
        <rFont val="標楷體"/>
        <family val="4"/>
        <charset val="136"/>
      </rPr>
      <t>萬</t>
    </r>
    <r>
      <rPr>
        <sz val="14"/>
        <rFont val="Times New Roman"/>
        <family val="1"/>
      </rPr>
      <t>3</t>
    </r>
    <r>
      <rPr>
        <sz val="14"/>
        <rFont val="標楷體"/>
        <family val="4"/>
        <charset val="136"/>
      </rPr>
      <t>千元，減列</t>
    </r>
    <r>
      <rPr>
        <sz val="14"/>
        <rFont val="Times New Roman"/>
        <family val="1"/>
      </rPr>
      <t>1,600</t>
    </r>
    <r>
      <rPr>
        <sz val="14"/>
        <rFont val="標楷體"/>
        <family val="4"/>
        <charset val="136"/>
      </rPr>
      <t>萬並凍結</t>
    </r>
    <r>
      <rPr>
        <sz val="14"/>
        <rFont val="Times New Roman"/>
        <family val="1"/>
      </rPr>
      <t>30%</t>
    </r>
    <r>
      <rPr>
        <sz val="14"/>
        <rFont val="標楷體"/>
        <family val="4"/>
        <charset val="136"/>
      </rPr>
      <t>，俟通傳會於三個月內向立法院交通委員會提專案報告並經同意後，始得動支。</t>
    </r>
    <phoneticPr fontId="32" type="noConversion"/>
  </si>
  <si>
    <r>
      <rPr>
        <b/>
        <sz val="14"/>
        <rFont val="標楷體"/>
        <family val="4"/>
        <charset val="136"/>
      </rPr>
      <t>一、建請免予減列及凍結，並修正提案文字為「</t>
    </r>
    <r>
      <rPr>
        <b/>
        <sz val="14"/>
        <rFont val="Times New Roman"/>
        <family val="1"/>
      </rPr>
      <t>……</t>
    </r>
    <r>
      <rPr>
        <b/>
        <sz val="14"/>
        <rFont val="標楷體"/>
        <family val="4"/>
        <charset val="136"/>
      </rPr>
      <t>，爰要求通傳會於</t>
    </r>
    <r>
      <rPr>
        <b/>
        <sz val="14"/>
        <rFont val="Times New Roman"/>
        <family val="1"/>
      </rPr>
      <t>3</t>
    </r>
    <r>
      <rPr>
        <b/>
        <sz val="14"/>
        <rFont val="標楷體"/>
        <family val="4"/>
        <charset val="136"/>
      </rPr>
      <t>個月內向立法院交通委員會提出書面報告」。</t>
    </r>
    <r>
      <rPr>
        <sz val="14"/>
        <rFont val="Times New Roman"/>
        <family val="1"/>
      </rPr>
      <t xml:space="preserve">
</t>
    </r>
    <r>
      <rPr>
        <sz val="14"/>
        <rFont val="標楷體"/>
        <family val="4"/>
        <charset val="136"/>
      </rPr>
      <t>二、國家通訊傳播委員會</t>
    </r>
    <r>
      <rPr>
        <sz val="14"/>
        <rFont val="Times New Roman"/>
        <family val="1"/>
      </rPr>
      <t>111</t>
    </r>
    <r>
      <rPr>
        <sz val="14"/>
        <rFont val="標楷體"/>
        <family val="4"/>
        <charset val="136"/>
      </rPr>
      <t>年對外公開調修後之「網際網路視聽服務法草案」，惟各界尚未有共識。為使草案周延可行，該會持續邀請利害關係人提供意見，並蒐集先進國家管理制度，了解各界訴求後尋求共識以妥適推動。
三、本年截至</t>
    </r>
    <r>
      <rPr>
        <sz val="14"/>
        <rFont val="Times New Roman"/>
        <family val="1"/>
      </rPr>
      <t>4</t>
    </r>
    <r>
      <rPr>
        <sz val="14"/>
        <rFont val="標楷體"/>
        <family val="4"/>
        <charset val="136"/>
      </rPr>
      <t>月底執行數</t>
    </r>
    <r>
      <rPr>
        <sz val="14"/>
        <rFont val="Times New Roman"/>
        <family val="1"/>
      </rPr>
      <t>191</t>
    </r>
    <r>
      <rPr>
        <sz val="14"/>
        <rFont val="標楷體"/>
        <family val="4"/>
        <charset val="136"/>
      </rPr>
      <t>千元，預估尚須執行</t>
    </r>
    <r>
      <rPr>
        <sz val="14"/>
        <rFont val="Times New Roman"/>
        <family val="1"/>
      </rPr>
      <t>25,702</t>
    </r>
    <r>
      <rPr>
        <sz val="14"/>
        <rFont val="標楷體"/>
        <family val="4"/>
        <charset val="136"/>
      </rPr>
      <t>千元，全年共需</t>
    </r>
    <r>
      <rPr>
        <sz val="14"/>
        <rFont val="Times New Roman"/>
        <family val="1"/>
      </rPr>
      <t>25,893</t>
    </r>
    <r>
      <rPr>
        <sz val="14"/>
        <rFont val="標楷體"/>
        <family val="4"/>
        <charset val="136"/>
      </rPr>
      <t>千元。</t>
    </r>
    <phoneticPr fontId="32" type="noConversion"/>
  </si>
  <si>
    <r>
      <rPr>
        <sz val="14"/>
        <rFont val="標楷體"/>
        <family val="4"/>
        <charset val="136"/>
      </rPr>
      <t>委保</t>
    </r>
    <r>
      <rPr>
        <sz val="14"/>
        <rFont val="Times New Roman"/>
        <family val="1"/>
      </rPr>
      <t>61</t>
    </r>
  </si>
  <si>
    <r>
      <rPr>
        <sz val="14"/>
        <rFont val="標楷體"/>
        <family val="4"/>
        <charset val="136"/>
      </rPr>
      <t>「網際網路傳播計畫</t>
    </r>
    <r>
      <rPr>
        <sz val="14"/>
        <rFont val="Times New Roman"/>
        <family val="1"/>
      </rPr>
      <t>-</t>
    </r>
    <r>
      <rPr>
        <sz val="14"/>
        <rFont val="標楷體"/>
        <family val="4"/>
        <charset val="136"/>
      </rPr>
      <t>服務費用」編列</t>
    </r>
    <r>
      <rPr>
        <sz val="14"/>
        <rFont val="Times New Roman"/>
        <family val="1"/>
      </rPr>
      <t>2,589</t>
    </r>
    <r>
      <rPr>
        <sz val="14"/>
        <rFont val="標楷體"/>
        <family val="4"/>
        <charset val="136"/>
      </rPr>
      <t>萬</t>
    </r>
    <r>
      <rPr>
        <sz val="14"/>
        <rFont val="Times New Roman"/>
        <family val="1"/>
      </rPr>
      <t>3</t>
    </r>
    <r>
      <rPr>
        <sz val="14"/>
        <rFont val="標楷體"/>
        <family val="4"/>
        <charset val="136"/>
      </rPr>
      <t>千元，凍結</t>
    </r>
    <r>
      <rPr>
        <sz val="14"/>
        <rFont val="Times New Roman"/>
        <family val="1"/>
      </rPr>
      <t>10%</t>
    </r>
    <r>
      <rPr>
        <sz val="14"/>
        <rFont val="標楷體"/>
        <family val="4"/>
        <charset val="136"/>
      </rPr>
      <t>，待通傳會於</t>
    </r>
    <r>
      <rPr>
        <sz val="14"/>
        <rFont val="Times New Roman"/>
        <family val="1"/>
      </rPr>
      <t>1</t>
    </r>
    <r>
      <rPr>
        <sz val="14"/>
        <rFont val="標楷體"/>
        <family val="4"/>
        <charset val="136"/>
      </rPr>
      <t>個月內提出書面報告後，始得動支。</t>
    </r>
    <phoneticPr fontId="32" type="noConversion"/>
  </si>
  <si>
    <r>
      <rPr>
        <sz val="14"/>
        <rFont val="標楷體"/>
        <family val="4"/>
        <charset val="136"/>
      </rPr>
      <t>委保</t>
    </r>
    <r>
      <rPr>
        <sz val="14"/>
        <rFont val="Times New Roman"/>
        <family val="1"/>
      </rPr>
      <t>62</t>
    </r>
  </si>
  <si>
    <r>
      <rPr>
        <sz val="14"/>
        <rFont val="標楷體"/>
        <family val="4"/>
        <charset val="136"/>
      </rPr>
      <t>「網際網路傳播計畫</t>
    </r>
    <r>
      <rPr>
        <sz val="14"/>
        <rFont val="Times New Roman"/>
        <family val="1"/>
      </rPr>
      <t>-</t>
    </r>
    <r>
      <rPr>
        <sz val="14"/>
        <rFont val="標楷體"/>
        <family val="4"/>
        <charset val="136"/>
      </rPr>
      <t>專業服務費」編列</t>
    </r>
    <r>
      <rPr>
        <sz val="14"/>
        <rFont val="Times New Roman"/>
        <family val="1"/>
      </rPr>
      <t>2,198</t>
    </r>
    <r>
      <rPr>
        <sz val="14"/>
        <rFont val="標楷體"/>
        <family val="4"/>
        <charset val="136"/>
      </rPr>
      <t>萬</t>
    </r>
    <r>
      <rPr>
        <sz val="14"/>
        <rFont val="Times New Roman"/>
        <family val="1"/>
      </rPr>
      <t>7</t>
    </r>
    <r>
      <rPr>
        <sz val="14"/>
        <rFont val="標楷體"/>
        <family val="4"/>
        <charset val="136"/>
      </rPr>
      <t>千元，民眾網路素養培力及業者教育訓練之教材執行粗糙，亦難有收到效果，爰刪除</t>
    </r>
    <r>
      <rPr>
        <sz val="14"/>
        <rFont val="Times New Roman"/>
        <family val="1"/>
      </rPr>
      <t>1,260</t>
    </r>
    <r>
      <rPr>
        <sz val="14"/>
        <rFont val="標楷體"/>
        <family val="4"/>
        <charset val="136"/>
      </rPr>
      <t>萬元。</t>
    </r>
    <phoneticPr fontId="32" type="noConversion"/>
  </si>
  <si>
    <r>
      <rPr>
        <b/>
        <sz val="14"/>
        <rFont val="標楷體"/>
        <family val="4"/>
        <charset val="136"/>
      </rPr>
      <t>一、建請第</t>
    </r>
    <r>
      <rPr>
        <b/>
        <sz val="14"/>
        <rFont val="Times New Roman"/>
        <family val="1"/>
      </rPr>
      <t>62</t>
    </r>
    <r>
      <rPr>
        <b/>
        <sz val="14"/>
        <rFont val="標楷體"/>
        <family val="4"/>
        <charset val="136"/>
      </rPr>
      <t>及</t>
    </r>
    <r>
      <rPr>
        <b/>
        <sz val="14"/>
        <rFont val="Times New Roman"/>
        <family val="1"/>
      </rPr>
      <t>63</t>
    </r>
    <r>
      <rPr>
        <b/>
        <sz val="14"/>
        <rFont val="標楷體"/>
        <family val="4"/>
        <charset val="136"/>
      </rPr>
      <t>案併案處理，免予減列及凍結，修正文字為「待通傳會於</t>
    </r>
    <r>
      <rPr>
        <b/>
        <sz val="14"/>
        <rFont val="Times New Roman"/>
        <family val="1"/>
      </rPr>
      <t>1</t>
    </r>
    <r>
      <rPr>
        <b/>
        <sz val="14"/>
        <rFont val="標楷體"/>
        <family val="4"/>
        <charset val="136"/>
      </rPr>
      <t>個月內提出書面報告後始得動支」。</t>
    </r>
    <r>
      <rPr>
        <sz val="14"/>
        <rFont val="Times New Roman"/>
        <family val="1"/>
      </rPr>
      <t xml:space="preserve">
</t>
    </r>
    <r>
      <rPr>
        <sz val="14"/>
        <rFont val="標楷體"/>
        <family val="4"/>
        <charset val="136"/>
      </rPr>
      <t>二、國家通訊傳播委員會組織法於</t>
    </r>
    <r>
      <rPr>
        <sz val="14"/>
        <rFont val="Times New Roman"/>
        <family val="1"/>
      </rPr>
      <t>111</t>
    </r>
    <r>
      <rPr>
        <sz val="14"/>
        <rFont val="標楷體"/>
        <family val="4"/>
        <charset val="136"/>
      </rPr>
      <t>年新增「網際網路傳播政策」職掌，需要借鏡國外做法及檢視臺灣當前社會現況，以研擬我國政策方向；且面對網路不當內容帶來的危害，提升網路素養為根本之道，該會將持續強化、充實網路素養教材。綜上，有必要持續辦理國內外之網路相關研究及提升國人數位素養計畫。
三、本年截至</t>
    </r>
    <r>
      <rPr>
        <sz val="14"/>
        <rFont val="Times New Roman"/>
        <family val="1"/>
      </rPr>
      <t>4</t>
    </r>
    <r>
      <rPr>
        <sz val="14"/>
        <rFont val="標楷體"/>
        <family val="4"/>
        <charset val="136"/>
      </rPr>
      <t>月底執行數</t>
    </r>
    <r>
      <rPr>
        <sz val="14"/>
        <rFont val="Times New Roman"/>
        <family val="1"/>
      </rPr>
      <t>168</t>
    </r>
    <r>
      <rPr>
        <sz val="14"/>
        <rFont val="標楷體"/>
        <family val="4"/>
        <charset val="136"/>
      </rPr>
      <t>千元，預估尚須執行</t>
    </r>
    <r>
      <rPr>
        <sz val="14"/>
        <rFont val="Times New Roman"/>
        <family val="1"/>
      </rPr>
      <t>21,819</t>
    </r>
    <r>
      <rPr>
        <sz val="14"/>
        <rFont val="標楷體"/>
        <family val="4"/>
        <charset val="136"/>
      </rPr>
      <t>千元，全年共需</t>
    </r>
    <r>
      <rPr>
        <sz val="14"/>
        <rFont val="Times New Roman"/>
        <family val="1"/>
      </rPr>
      <t>21,987</t>
    </r>
    <r>
      <rPr>
        <sz val="14"/>
        <rFont val="標楷體"/>
        <family val="4"/>
        <charset val="136"/>
      </rPr>
      <t>千元。</t>
    </r>
    <phoneticPr fontId="32" type="noConversion"/>
  </si>
  <si>
    <r>
      <rPr>
        <sz val="14"/>
        <rFont val="標楷體"/>
        <family val="4"/>
        <charset val="136"/>
      </rPr>
      <t>委保</t>
    </r>
    <r>
      <rPr>
        <sz val="14"/>
        <rFont val="Times New Roman"/>
        <family val="1"/>
      </rPr>
      <t>63</t>
    </r>
  </si>
  <si>
    <r>
      <rPr>
        <sz val="14"/>
        <rFont val="標楷體"/>
        <family val="4"/>
        <charset val="136"/>
      </rPr>
      <t>「網際網路傳播計畫</t>
    </r>
    <r>
      <rPr>
        <sz val="14"/>
        <rFont val="Times New Roman"/>
        <family val="1"/>
      </rPr>
      <t>-</t>
    </r>
    <r>
      <rPr>
        <sz val="14"/>
        <rFont val="標楷體"/>
        <family val="4"/>
        <charset val="136"/>
      </rPr>
      <t>專業服務費」編列</t>
    </r>
    <r>
      <rPr>
        <sz val="14"/>
        <rFont val="Times New Roman"/>
        <family val="1"/>
      </rPr>
      <t>2,198</t>
    </r>
    <r>
      <rPr>
        <sz val="14"/>
        <rFont val="標楷體"/>
        <family val="4"/>
        <charset val="136"/>
      </rPr>
      <t>萬</t>
    </r>
    <r>
      <rPr>
        <sz val="14"/>
        <rFont val="Times New Roman"/>
        <family val="1"/>
      </rPr>
      <t>7</t>
    </r>
    <r>
      <rPr>
        <sz val="14"/>
        <rFont val="標楷體"/>
        <family val="4"/>
        <charset val="136"/>
      </rPr>
      <t>千元，減列</t>
    </r>
    <r>
      <rPr>
        <sz val="14"/>
        <rFont val="Times New Roman"/>
        <family val="1"/>
      </rPr>
      <t>1,400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個月內向立法院交通委員會提出專案報告並經同意後，始得動支。</t>
    </r>
    <phoneticPr fontId="32" type="noConversion"/>
  </si>
  <si>
    <r>
      <rPr>
        <b/>
        <sz val="14"/>
        <rFont val="標楷體"/>
        <family val="4"/>
        <charset val="136"/>
      </rPr>
      <t>一、建請第</t>
    </r>
    <r>
      <rPr>
        <b/>
        <sz val="14"/>
        <rFont val="Times New Roman"/>
        <family val="1"/>
      </rPr>
      <t>62</t>
    </r>
    <r>
      <rPr>
        <b/>
        <sz val="14"/>
        <rFont val="標楷體"/>
        <family val="4"/>
        <charset val="136"/>
      </rPr>
      <t>及</t>
    </r>
    <r>
      <rPr>
        <b/>
        <sz val="14"/>
        <rFont val="Times New Roman"/>
        <family val="1"/>
      </rPr>
      <t>63</t>
    </r>
    <r>
      <rPr>
        <b/>
        <sz val="14"/>
        <rFont val="標楷體"/>
        <family val="4"/>
        <charset val="136"/>
      </rPr>
      <t>案併案處理，免予減列及凍結，修正文字為「待通傳會於</t>
    </r>
    <r>
      <rPr>
        <b/>
        <sz val="14"/>
        <rFont val="Times New Roman"/>
        <family val="1"/>
      </rPr>
      <t>1</t>
    </r>
    <r>
      <rPr>
        <b/>
        <sz val="14"/>
        <rFont val="標楷體"/>
        <family val="4"/>
        <charset val="136"/>
      </rPr>
      <t>個月內提出書面報告後始得動支」。</t>
    </r>
    <r>
      <rPr>
        <sz val="14"/>
        <rFont val="Times New Roman"/>
        <family val="1"/>
      </rPr>
      <t xml:space="preserve">
</t>
    </r>
    <r>
      <rPr>
        <sz val="14"/>
        <rFont val="標楷體"/>
        <family val="4"/>
        <charset val="136"/>
      </rPr>
      <t>二、通傳會依廣電法等規定管理電視節目，基於言論自由原則，不為事前審查，要求電視臺自律編審。而針對申訴，通傳會調閱側錄內容並請業者陳述意見；如涉違法之虞，交由「廣播電視節目廣告諮詢會議」討論後再由通傳會委員會議審議。裁罰依違法情節、紀錄及責任程度綜合判斷。為兼顧言論自由與視聽權益，建請免予減列及凍結。
三、本年截至</t>
    </r>
    <r>
      <rPr>
        <sz val="14"/>
        <rFont val="Times New Roman"/>
        <family val="1"/>
      </rPr>
      <t>4</t>
    </r>
    <r>
      <rPr>
        <sz val="14"/>
        <rFont val="標楷體"/>
        <family val="4"/>
        <charset val="136"/>
      </rPr>
      <t>月底執行數</t>
    </r>
    <r>
      <rPr>
        <sz val="14"/>
        <rFont val="Times New Roman"/>
        <family val="1"/>
      </rPr>
      <t>168</t>
    </r>
    <r>
      <rPr>
        <sz val="14"/>
        <rFont val="標楷體"/>
        <family val="4"/>
        <charset val="136"/>
      </rPr>
      <t>千元，預估尚須執行</t>
    </r>
    <r>
      <rPr>
        <sz val="14"/>
        <rFont val="Times New Roman"/>
        <family val="1"/>
      </rPr>
      <t>21,819</t>
    </r>
    <r>
      <rPr>
        <sz val="14"/>
        <rFont val="標楷體"/>
        <family val="4"/>
        <charset val="136"/>
      </rPr>
      <t>千元，全年共需</t>
    </r>
    <r>
      <rPr>
        <sz val="14"/>
        <rFont val="Times New Roman"/>
        <family val="1"/>
      </rPr>
      <t>21,987</t>
    </r>
    <r>
      <rPr>
        <sz val="14"/>
        <rFont val="標楷體"/>
        <family val="4"/>
        <charset val="136"/>
      </rPr>
      <t>元。</t>
    </r>
    <phoneticPr fontId="32" type="noConversion"/>
  </si>
  <si>
    <r>
      <rPr>
        <sz val="14"/>
        <rFont val="標楷體"/>
        <family val="4"/>
        <charset val="136"/>
      </rPr>
      <t>委保</t>
    </r>
    <r>
      <rPr>
        <sz val="14"/>
        <rFont val="Times New Roman"/>
        <family val="1"/>
      </rPr>
      <t>64</t>
    </r>
  </si>
  <si>
    <r>
      <rPr>
        <sz val="14"/>
        <rFont val="標楷體"/>
        <family val="4"/>
        <charset val="136"/>
      </rPr>
      <t>「網際網路傳播計畫</t>
    </r>
    <r>
      <rPr>
        <sz val="14"/>
        <rFont val="Times New Roman"/>
        <family val="1"/>
      </rPr>
      <t>-</t>
    </r>
    <r>
      <rPr>
        <sz val="14"/>
        <rFont val="標楷體"/>
        <family val="4"/>
        <charset val="136"/>
      </rPr>
      <t>媒體政策及業務宣導費」編列</t>
    </r>
    <r>
      <rPr>
        <sz val="14"/>
        <rFont val="Times New Roman"/>
        <family val="1"/>
      </rPr>
      <t>70</t>
    </r>
    <r>
      <rPr>
        <sz val="14"/>
        <rFont val="標楷體"/>
        <family val="4"/>
        <charset val="136"/>
      </rPr>
      <t>萬元，各機關媒體宣傳費連續</t>
    </r>
    <r>
      <rPr>
        <sz val="14"/>
        <rFont val="Times New Roman"/>
        <family val="1"/>
      </rPr>
      <t>3</t>
    </r>
    <r>
      <rPr>
        <sz val="14"/>
        <rFont val="標楷體"/>
        <family val="4"/>
        <charset val="136"/>
      </rPr>
      <t>年得標廠商採限制型招標居多，且得標廠商集中度甚高，幾乎獨厚特定綠媒，爰減列</t>
    </r>
    <r>
      <rPr>
        <sz val="14"/>
        <rFont val="Times New Roman"/>
        <family val="1"/>
      </rPr>
      <t>70</t>
    </r>
    <r>
      <rPr>
        <sz val="14"/>
        <rFont val="標楷體"/>
        <family val="4"/>
        <charset val="136"/>
      </rPr>
      <t>萬元。</t>
    </r>
    <phoneticPr fontId="32" type="noConversion"/>
  </si>
  <si>
    <r>
      <rPr>
        <b/>
        <sz val="14"/>
        <rFont val="標楷體"/>
        <family val="4"/>
        <charset val="136"/>
      </rPr>
      <t>一、建請第</t>
    </r>
    <r>
      <rPr>
        <b/>
        <sz val="14"/>
        <rFont val="Times New Roman"/>
        <family val="1"/>
      </rPr>
      <t>64</t>
    </r>
    <r>
      <rPr>
        <b/>
        <sz val="14"/>
        <rFont val="標楷體"/>
        <family val="4"/>
        <charset val="136"/>
      </rPr>
      <t>、</t>
    </r>
    <r>
      <rPr>
        <b/>
        <sz val="14"/>
        <rFont val="Times New Roman"/>
        <family val="1"/>
      </rPr>
      <t>65</t>
    </r>
    <r>
      <rPr>
        <b/>
        <sz val="14"/>
        <rFont val="標楷體"/>
        <family val="4"/>
        <charset val="136"/>
      </rPr>
      <t>及</t>
    </r>
    <r>
      <rPr>
        <b/>
        <sz val="14"/>
        <rFont val="Times New Roman"/>
        <family val="1"/>
      </rPr>
      <t>66</t>
    </r>
    <r>
      <rPr>
        <b/>
        <sz val="14"/>
        <rFont val="標楷體"/>
        <family val="4"/>
        <charset val="136"/>
      </rPr>
      <t>案併案處理，免予減列，修正文字為「</t>
    </r>
    <r>
      <rPr>
        <b/>
        <sz val="14"/>
        <rFont val="Times New Roman"/>
        <family val="1"/>
      </rPr>
      <t>……</t>
    </r>
    <r>
      <rPr>
        <b/>
        <sz val="14"/>
        <rFont val="標楷體"/>
        <family val="4"/>
        <charset val="136"/>
      </rPr>
      <t>，爰要求國家通訊傳播委員會於</t>
    </r>
    <r>
      <rPr>
        <b/>
        <sz val="14"/>
        <rFont val="Times New Roman"/>
        <family val="1"/>
      </rPr>
      <t>1</t>
    </r>
    <r>
      <rPr>
        <b/>
        <sz val="14"/>
        <rFont val="標楷體"/>
        <family val="4"/>
        <charset val="136"/>
      </rPr>
      <t>個月內提出書面報告」。</t>
    </r>
    <r>
      <rPr>
        <sz val="14"/>
        <rFont val="Times New Roman"/>
        <family val="1"/>
      </rPr>
      <t xml:space="preserve">
</t>
    </r>
    <r>
      <rPr>
        <sz val="14"/>
        <rFont val="標楷體"/>
        <family val="4"/>
        <charset val="136"/>
      </rPr>
      <t>二、如刪減預算，該會將難以辦理兒剝防制條例修法責成該會之教育宣導，亦無法達成宣導網路平臺兒少防護設定之觀念，或鼓勵兒少受害時即時向依兒少法成立之</t>
    </r>
    <r>
      <rPr>
        <sz val="14"/>
        <rFont val="Times New Roman"/>
        <family val="1"/>
      </rPr>
      <t>iWIN</t>
    </r>
    <r>
      <rPr>
        <sz val="14"/>
        <rFont val="標楷體"/>
        <family val="4"/>
        <charset val="136"/>
      </rPr>
      <t>求助，以及使家長及教師熟悉如何透過免費之防護設定，減少兒少接觸不當網路內容的機會。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700</t>
    </r>
    <r>
      <rPr>
        <sz val="14"/>
        <rFont val="標楷體"/>
        <family val="4"/>
        <charset val="136"/>
      </rPr>
      <t>千元，全年共需</t>
    </r>
    <r>
      <rPr>
        <sz val="14"/>
        <rFont val="Times New Roman"/>
        <family val="1"/>
      </rPr>
      <t>700</t>
    </r>
    <r>
      <rPr>
        <sz val="14"/>
        <rFont val="標楷體"/>
        <family val="4"/>
        <charset val="136"/>
      </rPr>
      <t>千元。</t>
    </r>
    <phoneticPr fontId="32" type="noConversion"/>
  </si>
  <si>
    <r>
      <rPr>
        <sz val="14"/>
        <rFont val="標楷體"/>
        <family val="4"/>
        <charset val="136"/>
      </rPr>
      <t>委保</t>
    </r>
    <r>
      <rPr>
        <sz val="14"/>
        <rFont val="Times New Roman"/>
        <family val="1"/>
      </rPr>
      <t>65</t>
    </r>
  </si>
  <si>
    <r>
      <rPr>
        <sz val="14"/>
        <rFont val="標楷體"/>
        <family val="4"/>
        <charset val="136"/>
      </rPr>
      <t>「網際網路傳播計畫</t>
    </r>
    <r>
      <rPr>
        <sz val="14"/>
        <rFont val="Times New Roman"/>
        <family val="1"/>
      </rPr>
      <t>-</t>
    </r>
    <r>
      <rPr>
        <sz val="14"/>
        <rFont val="標楷體"/>
        <family val="4"/>
        <charset val="136"/>
      </rPr>
      <t>媒體政策及業務宣導費」編列</t>
    </r>
    <r>
      <rPr>
        <sz val="14"/>
        <rFont val="Times New Roman"/>
        <family val="1"/>
      </rPr>
      <t>70</t>
    </r>
    <r>
      <rPr>
        <sz val="14"/>
        <rFont val="標楷體"/>
        <family val="4"/>
        <charset val="136"/>
      </rPr>
      <t>萬元，各機關媒體宣傳費連續</t>
    </r>
    <r>
      <rPr>
        <sz val="14"/>
        <rFont val="Times New Roman"/>
        <family val="1"/>
      </rPr>
      <t>3</t>
    </r>
    <r>
      <rPr>
        <sz val="14"/>
        <rFont val="標楷體"/>
        <family val="4"/>
        <charset val="136"/>
      </rPr>
      <t>年得標廠商採限制型招標居多，且得標廠商集中度甚高，可能造成獨厚特定媒體及廠商疑慮，爰減列</t>
    </r>
    <r>
      <rPr>
        <sz val="14"/>
        <rFont val="Times New Roman"/>
        <family val="1"/>
      </rPr>
      <t>70</t>
    </r>
    <r>
      <rPr>
        <sz val="14"/>
        <rFont val="標楷體"/>
        <family val="4"/>
        <charset val="136"/>
      </rPr>
      <t>萬元。</t>
    </r>
    <phoneticPr fontId="32" type="noConversion"/>
  </si>
  <si>
    <r>
      <rPr>
        <b/>
        <sz val="14"/>
        <rFont val="標楷體"/>
        <family val="4"/>
        <charset val="136"/>
      </rPr>
      <t>一、建請第</t>
    </r>
    <r>
      <rPr>
        <b/>
        <sz val="14"/>
        <rFont val="Times New Roman"/>
        <family val="1"/>
      </rPr>
      <t>64</t>
    </r>
    <r>
      <rPr>
        <b/>
        <sz val="14"/>
        <rFont val="標楷體"/>
        <family val="4"/>
        <charset val="136"/>
      </rPr>
      <t>、</t>
    </r>
    <r>
      <rPr>
        <b/>
        <sz val="14"/>
        <rFont val="Times New Roman"/>
        <family val="1"/>
      </rPr>
      <t>65</t>
    </r>
    <r>
      <rPr>
        <b/>
        <sz val="14"/>
        <rFont val="標楷體"/>
        <family val="4"/>
        <charset val="136"/>
      </rPr>
      <t>及</t>
    </r>
    <r>
      <rPr>
        <b/>
        <sz val="14"/>
        <rFont val="Times New Roman"/>
        <family val="1"/>
      </rPr>
      <t>66</t>
    </r>
    <r>
      <rPr>
        <b/>
        <sz val="14"/>
        <rFont val="標楷體"/>
        <family val="4"/>
        <charset val="136"/>
      </rPr>
      <t>案併案處理，免予減列，修正文字為「</t>
    </r>
    <r>
      <rPr>
        <b/>
        <sz val="14"/>
        <rFont val="Times New Roman"/>
        <family val="1"/>
      </rPr>
      <t>……</t>
    </r>
    <r>
      <rPr>
        <b/>
        <sz val="14"/>
        <rFont val="標楷體"/>
        <family val="4"/>
        <charset val="136"/>
      </rPr>
      <t>，爰要求國家通訊傳播委員會於</t>
    </r>
    <r>
      <rPr>
        <b/>
        <sz val="14"/>
        <rFont val="Times New Roman"/>
        <family val="1"/>
      </rPr>
      <t>1</t>
    </r>
    <r>
      <rPr>
        <b/>
        <sz val="14"/>
        <rFont val="標楷體"/>
        <family val="4"/>
        <charset val="136"/>
      </rPr>
      <t xml:space="preserve">個月內提出書面報告」。
</t>
    </r>
    <r>
      <rPr>
        <sz val="14"/>
        <rFont val="標楷體"/>
        <family val="4"/>
        <charset val="136"/>
      </rPr>
      <t>二、同第</t>
    </r>
    <r>
      <rPr>
        <sz val="14"/>
        <rFont val="Times New Roman"/>
        <family val="1"/>
      </rPr>
      <t>64</t>
    </r>
    <r>
      <rPr>
        <sz val="14"/>
        <rFont val="標楷體"/>
        <family val="4"/>
        <charset val="136"/>
      </rPr>
      <t xml:space="preserve">案說明。
</t>
    </r>
    <r>
      <rPr>
        <b/>
        <sz val="14"/>
        <rFont val="標楷體"/>
        <family val="4"/>
        <charset val="136"/>
      </rPr>
      <t>三、</t>
    </r>
    <r>
      <rPr>
        <sz val="14"/>
        <rFont val="標楷體"/>
        <family val="4"/>
        <charset val="136"/>
      </rPr>
      <t>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700</t>
    </r>
    <r>
      <rPr>
        <sz val="14"/>
        <rFont val="標楷體"/>
        <family val="4"/>
        <charset val="136"/>
      </rPr>
      <t>千元，全年共需</t>
    </r>
    <r>
      <rPr>
        <sz val="14"/>
        <rFont val="Times New Roman"/>
        <family val="1"/>
      </rPr>
      <t>700</t>
    </r>
    <r>
      <rPr>
        <sz val="14"/>
        <rFont val="標楷體"/>
        <family val="4"/>
        <charset val="136"/>
      </rPr>
      <t>千元。</t>
    </r>
    <phoneticPr fontId="32" type="noConversion"/>
  </si>
  <si>
    <r>
      <rPr>
        <sz val="14"/>
        <rFont val="標楷體"/>
        <family val="4"/>
        <charset val="136"/>
      </rPr>
      <t>委保</t>
    </r>
    <r>
      <rPr>
        <sz val="14"/>
        <rFont val="Times New Roman"/>
        <family val="1"/>
      </rPr>
      <t>66</t>
    </r>
  </si>
  <si>
    <r>
      <rPr>
        <sz val="14"/>
        <rFont val="標楷體"/>
        <family val="4"/>
        <charset val="136"/>
      </rPr>
      <t>「網際網路傳播計畫</t>
    </r>
    <r>
      <rPr>
        <sz val="14"/>
        <rFont val="Times New Roman"/>
        <family val="1"/>
      </rPr>
      <t>-</t>
    </r>
    <r>
      <rPr>
        <sz val="14"/>
        <rFont val="標楷體"/>
        <family val="4"/>
        <charset val="136"/>
      </rPr>
      <t>媒體政策及業務宣導費」編列</t>
    </r>
    <r>
      <rPr>
        <sz val="14"/>
        <rFont val="Times New Roman"/>
        <family val="1"/>
      </rPr>
      <t>70</t>
    </r>
    <r>
      <rPr>
        <sz val="14"/>
        <rFont val="標楷體"/>
        <family val="4"/>
        <charset val="136"/>
      </rPr>
      <t>萬元，凍結</t>
    </r>
    <r>
      <rPr>
        <sz val="14"/>
        <rFont val="Times New Roman"/>
        <family val="1"/>
      </rPr>
      <t>20%</t>
    </r>
    <r>
      <rPr>
        <sz val="14"/>
        <rFont val="標楷體"/>
        <family val="4"/>
        <charset val="136"/>
      </rPr>
      <t>，俟通傳會於該筆預算執行半年內向立法院交通委員會提出成效報告並經委員會同意後，始得動支。</t>
    </r>
    <phoneticPr fontId="32" type="noConversion"/>
  </si>
  <si>
    <r>
      <rPr>
        <b/>
        <sz val="14"/>
        <rFont val="標楷體"/>
        <family val="4"/>
        <charset val="136"/>
      </rPr>
      <t>一、建請第</t>
    </r>
    <r>
      <rPr>
        <b/>
        <sz val="14"/>
        <rFont val="Times New Roman"/>
        <family val="1"/>
      </rPr>
      <t>64</t>
    </r>
    <r>
      <rPr>
        <b/>
        <sz val="14"/>
        <rFont val="標楷體"/>
        <family val="4"/>
        <charset val="136"/>
      </rPr>
      <t>、</t>
    </r>
    <r>
      <rPr>
        <b/>
        <sz val="14"/>
        <rFont val="Times New Roman"/>
        <family val="1"/>
      </rPr>
      <t>65</t>
    </r>
    <r>
      <rPr>
        <b/>
        <sz val="14"/>
        <rFont val="標楷體"/>
        <family val="4"/>
        <charset val="136"/>
      </rPr>
      <t>及</t>
    </r>
    <r>
      <rPr>
        <b/>
        <sz val="14"/>
        <rFont val="Times New Roman"/>
        <family val="1"/>
      </rPr>
      <t>66</t>
    </r>
    <r>
      <rPr>
        <b/>
        <sz val="14"/>
        <rFont val="標楷體"/>
        <family val="4"/>
        <charset val="136"/>
      </rPr>
      <t>案併案處理，免予凍結，修正文字為「</t>
    </r>
    <r>
      <rPr>
        <b/>
        <sz val="14"/>
        <rFont val="Times New Roman"/>
        <family val="1"/>
      </rPr>
      <t>……</t>
    </r>
    <r>
      <rPr>
        <b/>
        <sz val="14"/>
        <rFont val="標楷體"/>
        <family val="4"/>
        <charset val="136"/>
      </rPr>
      <t>，爰要求國家通訊傳播委員會於</t>
    </r>
    <r>
      <rPr>
        <b/>
        <sz val="14"/>
        <rFont val="Times New Roman"/>
        <family val="1"/>
      </rPr>
      <t>1</t>
    </r>
    <r>
      <rPr>
        <b/>
        <sz val="14"/>
        <rFont val="標楷體"/>
        <family val="4"/>
        <charset val="136"/>
      </rPr>
      <t>個月內提出書面報告」。</t>
    </r>
    <r>
      <rPr>
        <sz val="14"/>
        <rFont val="Times New Roman"/>
        <family val="1"/>
      </rPr>
      <t xml:space="preserve">
</t>
    </r>
    <r>
      <rPr>
        <sz val="14"/>
        <rFont val="標楷體"/>
        <family val="4"/>
        <charset val="136"/>
      </rPr>
      <t>二、同第</t>
    </r>
    <r>
      <rPr>
        <sz val="14"/>
        <rFont val="Times New Roman"/>
        <family val="1"/>
      </rPr>
      <t>64</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700</t>
    </r>
    <r>
      <rPr>
        <sz val="14"/>
        <rFont val="標楷體"/>
        <family val="4"/>
        <charset val="136"/>
      </rPr>
      <t>千元，全年共需</t>
    </r>
    <r>
      <rPr>
        <sz val="14"/>
        <rFont val="Times New Roman"/>
        <family val="1"/>
      </rPr>
      <t>700</t>
    </r>
    <r>
      <rPr>
        <sz val="14"/>
        <rFont val="標楷體"/>
        <family val="4"/>
        <charset val="136"/>
      </rPr>
      <t>千元。</t>
    </r>
    <phoneticPr fontId="32" type="noConversion"/>
  </si>
  <si>
    <r>
      <rPr>
        <sz val="14"/>
        <rFont val="標楷體"/>
        <family val="4"/>
        <charset val="136"/>
      </rPr>
      <t>委保</t>
    </r>
    <r>
      <rPr>
        <sz val="14"/>
        <rFont val="Times New Roman"/>
        <family val="1"/>
      </rPr>
      <t>67</t>
    </r>
  </si>
  <si>
    <r>
      <rPr>
        <sz val="14"/>
        <rFont val="標楷體"/>
        <family val="4"/>
        <charset val="136"/>
      </rPr>
      <t>「網際網路傳播計畫</t>
    </r>
    <r>
      <rPr>
        <sz val="14"/>
        <rFont val="Times New Roman"/>
        <family val="1"/>
      </rPr>
      <t>-</t>
    </r>
    <r>
      <rPr>
        <sz val="14"/>
        <rFont val="標楷體"/>
        <family val="4"/>
        <charset val="136"/>
      </rPr>
      <t>推展費」編列</t>
    </r>
    <r>
      <rPr>
        <sz val="14"/>
        <rFont val="Times New Roman"/>
        <family val="1"/>
      </rPr>
      <t>286</t>
    </r>
    <r>
      <rPr>
        <sz val="14"/>
        <rFont val="標楷體"/>
        <family val="4"/>
        <charset val="136"/>
      </rPr>
      <t>萬</t>
    </r>
    <r>
      <rPr>
        <sz val="14"/>
        <rFont val="Times New Roman"/>
        <family val="1"/>
      </rPr>
      <t>1</t>
    </r>
    <r>
      <rPr>
        <sz val="14"/>
        <rFont val="標楷體"/>
        <family val="4"/>
        <charset val="136"/>
      </rPr>
      <t>千元，通傳會主要職責應集中於監管媒體及通訊產業依法運作，為使資源有效配置於核心監管職責，爰減列</t>
    </r>
    <r>
      <rPr>
        <sz val="14"/>
        <rFont val="Times New Roman"/>
        <family val="1"/>
      </rPr>
      <t>200</t>
    </r>
    <r>
      <rPr>
        <sz val="14"/>
        <rFont val="標楷體"/>
        <family val="4"/>
        <charset val="136"/>
      </rPr>
      <t>萬元。</t>
    </r>
    <phoneticPr fontId="32" type="noConversion"/>
  </si>
  <si>
    <r>
      <rPr>
        <b/>
        <sz val="14"/>
        <rFont val="標楷體"/>
        <family val="4"/>
        <charset val="136"/>
      </rPr>
      <t>一、建請第</t>
    </r>
    <r>
      <rPr>
        <b/>
        <sz val="14"/>
        <rFont val="Times New Roman"/>
        <family val="1"/>
      </rPr>
      <t>67</t>
    </r>
    <r>
      <rPr>
        <b/>
        <sz val="14"/>
        <rFont val="標楷體"/>
        <family val="4"/>
        <charset val="136"/>
      </rPr>
      <t>及</t>
    </r>
    <r>
      <rPr>
        <b/>
        <sz val="14"/>
        <rFont val="Times New Roman"/>
        <family val="1"/>
      </rPr>
      <t>68</t>
    </r>
    <r>
      <rPr>
        <b/>
        <sz val="14"/>
        <rFont val="標楷體"/>
        <family val="4"/>
        <charset val="136"/>
      </rPr>
      <t>案併案處理，免予減列，修正文字為「</t>
    </r>
    <r>
      <rPr>
        <b/>
        <sz val="14"/>
        <rFont val="Times New Roman"/>
        <family val="1"/>
      </rPr>
      <t>……</t>
    </r>
    <r>
      <rPr>
        <b/>
        <sz val="14"/>
        <rFont val="標楷體"/>
        <family val="4"/>
        <charset val="136"/>
      </rPr>
      <t>，爰要求國家通訊傳播委員會半年內向立法院交通委員會提出書面報告」。</t>
    </r>
    <r>
      <rPr>
        <sz val="14"/>
        <rFont val="Times New Roman"/>
        <family val="1"/>
      </rPr>
      <t xml:space="preserve">
</t>
    </r>
    <r>
      <rPr>
        <sz val="14"/>
        <rFont val="標楷體"/>
        <family val="4"/>
        <charset val="136"/>
      </rPr>
      <t>二、網際網路傳播計畫</t>
    </r>
    <r>
      <rPr>
        <sz val="14"/>
        <rFont val="Times New Roman"/>
        <family val="1"/>
      </rPr>
      <t>-</t>
    </r>
    <r>
      <rPr>
        <sz val="14"/>
        <rFont val="標楷體"/>
        <family val="4"/>
        <charset val="136"/>
      </rPr>
      <t>推展費項目之相關業務係為提升民眾網路素養及防護意識，應持續辦理宣導活動，如減列預算將影響兒少上網安全教育等宣導活動之效益。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2,861</t>
    </r>
    <r>
      <rPr>
        <sz val="14"/>
        <rFont val="標楷體"/>
        <family val="4"/>
        <charset val="136"/>
      </rPr>
      <t>千元，全年共需</t>
    </r>
    <r>
      <rPr>
        <sz val="14"/>
        <rFont val="Times New Roman"/>
        <family val="1"/>
      </rPr>
      <t>2,861</t>
    </r>
    <r>
      <rPr>
        <sz val="14"/>
        <rFont val="標楷體"/>
        <family val="4"/>
        <charset val="136"/>
      </rPr>
      <t>千元。</t>
    </r>
    <phoneticPr fontId="32" type="noConversion"/>
  </si>
  <si>
    <r>
      <rPr>
        <sz val="14"/>
        <rFont val="標楷體"/>
        <family val="4"/>
        <charset val="136"/>
      </rPr>
      <t>委保</t>
    </r>
    <r>
      <rPr>
        <sz val="14"/>
        <rFont val="Times New Roman"/>
        <family val="1"/>
      </rPr>
      <t>68</t>
    </r>
  </si>
  <si>
    <r>
      <rPr>
        <sz val="14"/>
        <rFont val="標楷體"/>
        <family val="4"/>
        <charset val="136"/>
      </rPr>
      <t>「網際網路傳播計畫</t>
    </r>
    <r>
      <rPr>
        <sz val="14"/>
        <rFont val="Times New Roman"/>
        <family val="1"/>
      </rPr>
      <t>-</t>
    </r>
    <r>
      <rPr>
        <sz val="14"/>
        <rFont val="標楷體"/>
        <family val="4"/>
        <charset val="136"/>
      </rPr>
      <t>推展費」編列</t>
    </r>
    <r>
      <rPr>
        <sz val="14"/>
        <rFont val="Times New Roman"/>
        <family val="1"/>
      </rPr>
      <t>286</t>
    </r>
    <r>
      <rPr>
        <sz val="14"/>
        <rFont val="標楷體"/>
        <family val="4"/>
        <charset val="136"/>
      </rPr>
      <t>萬</t>
    </r>
    <r>
      <rPr>
        <sz val="14"/>
        <rFont val="Times New Roman"/>
        <family val="1"/>
      </rPr>
      <t>1</t>
    </r>
    <r>
      <rPr>
        <sz val="14"/>
        <rFont val="標楷體"/>
        <family val="4"/>
        <charset val="136"/>
      </rPr>
      <t>千元，通傳基金</t>
    </r>
    <r>
      <rPr>
        <sz val="14"/>
        <rFont val="Times New Roman"/>
        <family val="1"/>
      </rPr>
      <t>114</t>
    </r>
    <r>
      <rPr>
        <sz val="14"/>
        <rFont val="標楷體"/>
        <family val="4"/>
        <charset val="136"/>
      </rPr>
      <t>年編列數項與推廣相關之預算，凍結</t>
    </r>
    <r>
      <rPr>
        <sz val="14"/>
        <rFont val="Times New Roman"/>
        <family val="1"/>
      </rPr>
      <t>50%</t>
    </r>
    <r>
      <rPr>
        <sz val="14"/>
        <rFont val="標楷體"/>
        <family val="4"/>
        <charset val="136"/>
      </rPr>
      <t>，俟通傳會半年內向立法院交通委員會提出成效報告並經委員會同意後，始得動支。</t>
    </r>
    <phoneticPr fontId="32" type="noConversion"/>
  </si>
  <si>
    <r>
      <rPr>
        <b/>
        <sz val="14"/>
        <rFont val="標楷體"/>
        <family val="4"/>
        <charset val="136"/>
      </rPr>
      <t>一、建請第</t>
    </r>
    <r>
      <rPr>
        <b/>
        <sz val="14"/>
        <rFont val="Times New Roman"/>
        <family val="1"/>
      </rPr>
      <t>67</t>
    </r>
    <r>
      <rPr>
        <b/>
        <sz val="14"/>
        <rFont val="標楷體"/>
        <family val="4"/>
        <charset val="136"/>
      </rPr>
      <t>及</t>
    </r>
    <r>
      <rPr>
        <b/>
        <sz val="14"/>
        <rFont val="Times New Roman"/>
        <family val="1"/>
      </rPr>
      <t>68</t>
    </r>
    <r>
      <rPr>
        <b/>
        <sz val="14"/>
        <rFont val="標楷體"/>
        <family val="4"/>
        <charset val="136"/>
      </rPr>
      <t>案併案處理，免予凍結，修正文字為「</t>
    </r>
    <r>
      <rPr>
        <b/>
        <sz val="14"/>
        <rFont val="Times New Roman"/>
        <family val="1"/>
      </rPr>
      <t>……</t>
    </r>
    <r>
      <rPr>
        <b/>
        <sz val="14"/>
        <rFont val="標楷體"/>
        <family val="4"/>
        <charset val="136"/>
      </rPr>
      <t>，爰請國家通訊傳播委員會半年內向立法院交通委員會提出書面報告」。</t>
    </r>
    <r>
      <rPr>
        <sz val="14"/>
        <rFont val="Times New Roman"/>
        <family val="1"/>
      </rPr>
      <t xml:space="preserve">
</t>
    </r>
    <r>
      <rPr>
        <sz val="14"/>
        <rFont val="標楷體"/>
        <family val="4"/>
        <charset val="136"/>
      </rPr>
      <t>二、同第</t>
    </r>
    <r>
      <rPr>
        <sz val="14"/>
        <rFont val="Times New Roman"/>
        <family val="1"/>
      </rPr>
      <t>67</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元，預估尚須執行</t>
    </r>
    <r>
      <rPr>
        <sz val="14"/>
        <rFont val="Times New Roman"/>
        <family val="1"/>
      </rPr>
      <t>2,861</t>
    </r>
    <r>
      <rPr>
        <sz val="14"/>
        <rFont val="標楷體"/>
        <family val="4"/>
        <charset val="136"/>
      </rPr>
      <t>千元，全年共需</t>
    </r>
    <r>
      <rPr>
        <sz val="14"/>
        <rFont val="Times New Roman"/>
        <family val="1"/>
      </rPr>
      <t>2,861</t>
    </r>
    <r>
      <rPr>
        <sz val="14"/>
        <rFont val="標楷體"/>
        <family val="4"/>
        <charset val="136"/>
      </rPr>
      <t>千元。</t>
    </r>
    <phoneticPr fontId="32" type="noConversion"/>
  </si>
  <si>
    <r>
      <rPr>
        <sz val="14"/>
        <rFont val="標楷體"/>
        <family val="4"/>
        <charset val="136"/>
      </rPr>
      <t>委保</t>
    </r>
    <r>
      <rPr>
        <sz val="14"/>
        <rFont val="Times New Roman"/>
        <family val="1"/>
      </rPr>
      <t>69</t>
    </r>
  </si>
  <si>
    <r>
      <rPr>
        <sz val="14"/>
        <rFont val="標楷體"/>
        <family val="4"/>
        <charset val="136"/>
      </rPr>
      <t>「法制業務計畫」編列</t>
    </r>
    <r>
      <rPr>
        <sz val="14"/>
        <rFont val="Times New Roman"/>
        <family val="1"/>
      </rPr>
      <t>354</t>
    </r>
    <r>
      <rPr>
        <sz val="14"/>
        <rFont val="標楷體"/>
        <family val="4"/>
        <charset val="136"/>
      </rPr>
      <t>萬</t>
    </r>
    <r>
      <rPr>
        <sz val="14"/>
        <rFont val="Times New Roman"/>
        <family val="1"/>
      </rPr>
      <t>5</t>
    </r>
    <r>
      <rPr>
        <sz val="14"/>
        <rFont val="標楷體"/>
        <family val="4"/>
        <charset val="136"/>
      </rPr>
      <t>千元，中天新聞台案件的處理導致通傳會連連敗訴，鏡電視案疑雲重重，爰刪除全數預算。</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</si>
  <si>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t>
    </r>
    <r>
      <rPr>
        <b/>
        <sz val="14"/>
        <rFont val="Times New Roman"/>
        <family val="1"/>
      </rPr>
      <t>2</t>
    </r>
    <r>
      <rPr>
        <b/>
        <sz val="14"/>
        <rFont val="標楷體"/>
        <family val="4"/>
        <charset val="136"/>
      </rPr>
      <t>個月內提出書面報告，始得動支」。</t>
    </r>
    <r>
      <rPr>
        <sz val="14"/>
        <rFont val="Times New Roman"/>
        <family val="1"/>
      </rPr>
      <t xml:space="preserve">
</t>
    </r>
    <r>
      <rPr>
        <sz val="14"/>
        <rFont val="標楷體"/>
        <family val="4"/>
        <charset val="136"/>
      </rPr>
      <t>二、通傳會係獨立之合議制機關，委員組成包括法律等學者專家，依據法律獨立行使職權、自主運作、不受其他機關指揮監督，確保多元意見。中天電視訴訟案共計</t>
    </r>
    <r>
      <rPr>
        <sz val="14"/>
        <rFont val="Times New Roman"/>
        <family val="1"/>
      </rPr>
      <t>18</t>
    </r>
    <r>
      <rPr>
        <sz val="14"/>
        <rFont val="標楷體"/>
        <family val="4"/>
        <charset val="136"/>
      </rPr>
      <t>件，確定判決</t>
    </r>
    <r>
      <rPr>
        <sz val="14"/>
        <rFont val="Times New Roman"/>
        <family val="1"/>
      </rPr>
      <t>12</t>
    </r>
    <r>
      <rPr>
        <sz val="14"/>
        <rFont val="標楷體"/>
        <family val="4"/>
        <charset val="136"/>
      </rPr>
      <t>件</t>
    </r>
    <r>
      <rPr>
        <sz val="14"/>
        <rFont val="Times New Roman"/>
        <family val="1"/>
      </rPr>
      <t>(</t>
    </r>
    <r>
      <rPr>
        <sz val="14"/>
        <rFont val="標楷體"/>
        <family val="4"/>
        <charset val="136"/>
      </rPr>
      <t>通傳會勝訴</t>
    </r>
    <r>
      <rPr>
        <sz val="14"/>
        <rFont val="Times New Roman"/>
        <family val="1"/>
      </rPr>
      <t>8</t>
    </r>
    <r>
      <rPr>
        <sz val="14"/>
        <rFont val="標楷體"/>
        <family val="4"/>
        <charset val="136"/>
      </rPr>
      <t>件，敗訴</t>
    </r>
    <r>
      <rPr>
        <sz val="14"/>
        <rFont val="Times New Roman"/>
        <family val="1"/>
      </rPr>
      <t>4</t>
    </r>
    <r>
      <rPr>
        <sz val="14"/>
        <rFont val="標楷體"/>
        <family val="4"/>
        <charset val="136"/>
      </rPr>
      <t>件</t>
    </r>
    <r>
      <rPr>
        <sz val="14"/>
        <rFont val="Times New Roman"/>
        <family val="1"/>
      </rPr>
      <t>)</t>
    </r>
    <r>
      <rPr>
        <sz val="14"/>
        <rFont val="標楷體"/>
        <family val="4"/>
        <charset val="136"/>
      </rPr>
      <t>，並無連連敗訴之情形，以各審級尚未判決確定之勝敗訴統計，尚無實益，應從確定判決結果觀察較合理。
三、本年截至</t>
    </r>
    <r>
      <rPr>
        <sz val="14"/>
        <rFont val="Times New Roman"/>
        <family val="1"/>
      </rPr>
      <t>4</t>
    </r>
    <r>
      <rPr>
        <sz val="14"/>
        <rFont val="標楷體"/>
        <family val="4"/>
        <charset val="136"/>
      </rPr>
      <t>月底執行數</t>
    </r>
    <r>
      <rPr>
        <sz val="14"/>
        <rFont val="Times New Roman"/>
        <family val="1"/>
      </rPr>
      <t>107</t>
    </r>
    <r>
      <rPr>
        <sz val="14"/>
        <rFont val="標楷體"/>
        <family val="4"/>
        <charset val="136"/>
      </rPr>
      <t>千元，預估尚須執行</t>
    </r>
    <r>
      <rPr>
        <sz val="14"/>
        <rFont val="Times New Roman"/>
        <family val="1"/>
      </rPr>
      <t>3,438</t>
    </r>
    <r>
      <rPr>
        <sz val="14"/>
        <rFont val="標楷體"/>
        <family val="4"/>
        <charset val="136"/>
      </rPr>
      <t>千元，全年共需</t>
    </r>
    <r>
      <rPr>
        <sz val="14"/>
        <rFont val="Times New Roman"/>
        <family val="1"/>
      </rPr>
      <t>3,545</t>
    </r>
    <r>
      <rPr>
        <sz val="14"/>
        <rFont val="標楷體"/>
        <family val="4"/>
        <charset val="136"/>
      </rPr>
      <t>千元。</t>
    </r>
    <phoneticPr fontId="32" type="noConversion"/>
  </si>
  <si>
    <r>
      <rPr>
        <sz val="14"/>
        <rFont val="標楷體"/>
        <family val="4"/>
        <charset val="136"/>
      </rPr>
      <t>委保</t>
    </r>
    <r>
      <rPr>
        <sz val="14"/>
        <rFont val="Times New Roman"/>
        <family val="1"/>
      </rPr>
      <t>70</t>
    </r>
  </si>
  <si>
    <r>
      <rPr>
        <sz val="14"/>
        <rFont val="標楷體"/>
        <family val="4"/>
        <charset val="136"/>
      </rPr>
      <t>「法制業務計畫」編列</t>
    </r>
    <r>
      <rPr>
        <sz val="14"/>
        <rFont val="Times New Roman"/>
        <family val="1"/>
      </rPr>
      <t>354</t>
    </r>
    <r>
      <rPr>
        <sz val="14"/>
        <rFont val="標楷體"/>
        <family val="4"/>
        <charset val="136"/>
      </rPr>
      <t>萬</t>
    </r>
    <r>
      <rPr>
        <sz val="14"/>
        <rFont val="Times New Roman"/>
        <family val="1"/>
      </rPr>
      <t>5</t>
    </r>
    <r>
      <rPr>
        <sz val="14"/>
        <rFont val="標楷體"/>
        <family val="4"/>
        <charset val="136"/>
      </rPr>
      <t>千元，凍結</t>
    </r>
    <r>
      <rPr>
        <sz val="14"/>
        <rFont val="Times New Roman"/>
        <family val="1"/>
      </rPr>
      <t>10%</t>
    </r>
    <r>
      <rPr>
        <sz val="14"/>
        <rFont val="標楷體"/>
        <family val="4"/>
        <charset val="136"/>
      </rPr>
      <t>，俟通傳會針對二類電信業者或網際網路接取服務提供者研擬納管之法制措施，並於三個月內向交通委員會提出書面報告後，始得動支。</t>
    </r>
    <phoneticPr fontId="32" type="noConversion"/>
  </si>
  <si>
    <r>
      <rPr>
        <sz val="14"/>
        <rFont val="標楷體"/>
        <family val="4"/>
        <charset val="136"/>
      </rPr>
      <t>委保</t>
    </r>
    <r>
      <rPr>
        <sz val="14"/>
        <rFont val="Times New Roman"/>
        <family val="1"/>
      </rPr>
      <t>71</t>
    </r>
  </si>
  <si>
    <r>
      <rPr>
        <sz val="14"/>
        <rFont val="標楷體"/>
        <family val="4"/>
        <charset val="136"/>
      </rPr>
      <t>「法制業務計畫」編列</t>
    </r>
    <r>
      <rPr>
        <sz val="14"/>
        <rFont val="Times New Roman"/>
        <family val="1"/>
      </rPr>
      <t>354</t>
    </r>
    <r>
      <rPr>
        <sz val="14"/>
        <rFont val="標楷體"/>
        <family val="4"/>
        <charset val="136"/>
      </rPr>
      <t>萬</t>
    </r>
    <r>
      <rPr>
        <sz val="14"/>
        <rFont val="Times New Roman"/>
        <family val="1"/>
      </rPr>
      <t>5</t>
    </r>
    <r>
      <rPr>
        <sz val="14"/>
        <rFont val="標楷體"/>
        <family val="4"/>
        <charset val="136"/>
      </rPr>
      <t>千元，凍結</t>
    </r>
    <r>
      <rPr>
        <sz val="14"/>
        <rFont val="Times New Roman"/>
        <family val="1"/>
      </rPr>
      <t>10%</t>
    </r>
    <r>
      <rPr>
        <sz val="14"/>
        <rFont val="標楷體"/>
        <family val="4"/>
        <charset val="136"/>
      </rPr>
      <t>，俟通傳會於三個月內針對提出廣電三法修正期程及方向，向立法院交通委員會提出書面報告後，始得動支。</t>
    </r>
    <phoneticPr fontId="32" type="noConversion"/>
  </si>
  <si>
    <r>
      <rPr>
        <sz val="14"/>
        <rFont val="標楷體"/>
        <family val="4"/>
        <charset val="136"/>
      </rPr>
      <t>委保</t>
    </r>
    <r>
      <rPr>
        <sz val="14"/>
        <rFont val="Times New Roman"/>
        <family val="1"/>
      </rPr>
      <t>72</t>
    </r>
  </si>
  <si>
    <r>
      <rPr>
        <sz val="14"/>
        <rFont val="標楷體"/>
        <family val="4"/>
        <charset val="136"/>
      </rPr>
      <t>「法制業務計畫</t>
    </r>
    <r>
      <rPr>
        <sz val="14"/>
        <rFont val="Times New Roman"/>
        <family val="1"/>
      </rPr>
      <t>-</t>
    </r>
    <r>
      <rPr>
        <sz val="14"/>
        <rFont val="標楷體"/>
        <family val="4"/>
        <charset val="136"/>
      </rPr>
      <t>專業服務費」編列</t>
    </r>
    <r>
      <rPr>
        <sz val="14"/>
        <rFont val="Times New Roman"/>
        <family val="1"/>
      </rPr>
      <t>270</t>
    </r>
    <r>
      <rPr>
        <sz val="14"/>
        <rFont val="標楷體"/>
        <family val="4"/>
        <charset val="136"/>
      </rPr>
      <t>萬</t>
    </r>
    <r>
      <rPr>
        <sz val="14"/>
        <rFont val="Times New Roman"/>
        <family val="1"/>
      </rPr>
      <t>8</t>
    </r>
    <r>
      <rPr>
        <sz val="14"/>
        <rFont val="標楷體"/>
        <family val="4"/>
        <charset val="136"/>
      </rPr>
      <t>千元，減列</t>
    </r>
    <r>
      <rPr>
        <sz val="14"/>
        <rFont val="Times New Roman"/>
        <family val="1"/>
      </rPr>
      <t>160</t>
    </r>
    <r>
      <rPr>
        <sz val="14"/>
        <rFont val="標楷體"/>
        <family val="4"/>
        <charset val="136"/>
      </rPr>
      <t>萬元並凍結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個月內向立法院交通委員會提出專案報告並經同意後，始得動支。</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</si>
  <si>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t>
    </r>
    <r>
      <rPr>
        <b/>
        <sz val="14"/>
        <rFont val="Times New Roman"/>
        <family val="1"/>
      </rPr>
      <t>2</t>
    </r>
    <r>
      <rPr>
        <b/>
        <sz val="14"/>
        <rFont val="標楷體"/>
        <family val="4"/>
        <charset val="136"/>
      </rPr>
      <t>個月內提出書面報告，始得動支」。</t>
    </r>
    <r>
      <rPr>
        <sz val="14"/>
        <rFont val="Times New Roman"/>
        <family val="1"/>
      </rPr>
      <t xml:space="preserve">
</t>
    </r>
    <r>
      <rPr>
        <sz val="14"/>
        <rFont val="標楷體"/>
        <family val="4"/>
        <charset val="136"/>
      </rPr>
      <t>二、預算增加</t>
    </r>
    <r>
      <rPr>
        <sz val="14"/>
        <rFont val="Times New Roman"/>
        <family val="1"/>
      </rPr>
      <t>108</t>
    </r>
    <r>
      <rPr>
        <sz val="14"/>
        <rFont val="標楷體"/>
        <family val="4"/>
        <charset val="136"/>
      </rPr>
      <t>萬元，係因增加辦理數位匯流下人工智慧國際法制研究暨政策因應委託研究計畫</t>
    </r>
    <r>
      <rPr>
        <sz val="14"/>
        <rFont val="Times New Roman"/>
        <family val="1"/>
      </rPr>
      <t>110</t>
    </r>
    <r>
      <rPr>
        <sz val="14"/>
        <rFont val="標楷體"/>
        <family val="4"/>
        <charset val="136"/>
      </rPr>
      <t>萬元，該研究計畫主要係因應目前人工智慧發展快速，詐騙案件數量亦藉由人工智慧方式增加，爰有必要研究相關防詐堵詐之措施。
三、本年截至</t>
    </r>
    <r>
      <rPr>
        <sz val="14"/>
        <rFont val="Times New Roman"/>
        <family val="1"/>
      </rPr>
      <t>4</t>
    </r>
    <r>
      <rPr>
        <sz val="14"/>
        <rFont val="標楷體"/>
        <family val="4"/>
        <charset val="136"/>
      </rPr>
      <t>月底執行數</t>
    </r>
    <r>
      <rPr>
        <sz val="14"/>
        <rFont val="Times New Roman"/>
        <family val="1"/>
      </rPr>
      <t>80</t>
    </r>
    <r>
      <rPr>
        <sz val="14"/>
        <rFont val="標楷體"/>
        <family val="4"/>
        <charset val="136"/>
      </rPr>
      <t>千元，預估尚須執行</t>
    </r>
    <r>
      <rPr>
        <sz val="14"/>
        <rFont val="Times New Roman"/>
        <family val="1"/>
      </rPr>
      <t>2,628</t>
    </r>
    <r>
      <rPr>
        <sz val="14"/>
        <rFont val="標楷體"/>
        <family val="4"/>
        <charset val="136"/>
      </rPr>
      <t>千元，全年共需</t>
    </r>
    <r>
      <rPr>
        <sz val="14"/>
        <rFont val="Times New Roman"/>
        <family val="1"/>
      </rPr>
      <t>2,708</t>
    </r>
    <r>
      <rPr>
        <sz val="14"/>
        <rFont val="標楷體"/>
        <family val="4"/>
        <charset val="136"/>
      </rPr>
      <t>千元。</t>
    </r>
    <phoneticPr fontId="32" type="noConversion"/>
  </si>
  <si>
    <r>
      <rPr>
        <sz val="14"/>
        <rFont val="標楷體"/>
        <family val="4"/>
        <charset val="136"/>
      </rPr>
      <t>委保</t>
    </r>
    <r>
      <rPr>
        <sz val="14"/>
        <rFont val="Times New Roman"/>
        <family val="1"/>
      </rPr>
      <t>73</t>
    </r>
  </si>
  <si>
    <r>
      <rPr>
        <sz val="14"/>
        <rFont val="標楷體"/>
        <family val="4"/>
        <charset val="136"/>
      </rPr>
      <t>「法制業務計畫</t>
    </r>
    <r>
      <rPr>
        <sz val="14"/>
        <rFont val="Times New Roman"/>
        <family val="1"/>
      </rPr>
      <t>-</t>
    </r>
    <r>
      <rPr>
        <sz val="14"/>
        <rFont val="標楷體"/>
        <family val="4"/>
        <charset val="136"/>
      </rPr>
      <t>通訊傳播監理案件訴訟費及法律諮詢費」編列</t>
    </r>
    <r>
      <rPr>
        <sz val="14"/>
        <rFont val="Times New Roman"/>
        <family val="1"/>
      </rPr>
      <t>70</t>
    </r>
    <r>
      <rPr>
        <sz val="14"/>
        <rFont val="標楷體"/>
        <family val="4"/>
        <charset val="136"/>
      </rPr>
      <t>萬元，通傳會與中天電視間</t>
    </r>
    <r>
      <rPr>
        <sz val="14"/>
        <rFont val="Times New Roman"/>
        <family val="1"/>
      </rPr>
      <t>11</t>
    </r>
    <r>
      <rPr>
        <sz val="14"/>
        <rFont val="標楷體"/>
        <family val="4"/>
        <charset val="136"/>
      </rPr>
      <t>件爭訟案件中，中天獲法院之勝訴判決各審級已達</t>
    </r>
    <r>
      <rPr>
        <sz val="14"/>
        <rFont val="Times New Roman"/>
        <family val="1"/>
      </rPr>
      <t>22</t>
    </r>
    <r>
      <rPr>
        <sz val="14"/>
        <rFont val="標楷體"/>
        <family val="4"/>
        <charset val="136"/>
      </rPr>
      <t>件，通傳會應避免對於言論過度管制，爰減列</t>
    </r>
    <r>
      <rPr>
        <sz val="14"/>
        <rFont val="Times New Roman"/>
        <family val="1"/>
      </rPr>
      <t>70</t>
    </r>
    <r>
      <rPr>
        <sz val="14"/>
        <rFont val="標楷體"/>
        <family val="4"/>
        <charset val="136"/>
      </rPr>
      <t>萬元。</t>
    </r>
    <phoneticPr fontId="32" type="noConversion"/>
  </si>
  <si>
    <r>
      <rPr>
        <b/>
        <sz val="14"/>
        <rFont val="標楷體"/>
        <family val="4"/>
        <charset val="136"/>
      </rPr>
      <t>一、建請免予減列，並修正提案文字為「凍結</t>
    </r>
    <r>
      <rPr>
        <b/>
        <sz val="14"/>
        <rFont val="Times New Roman"/>
        <family val="1"/>
      </rPr>
      <t>10%</t>
    </r>
    <r>
      <rPr>
        <b/>
        <sz val="14"/>
        <rFont val="標楷體"/>
        <family val="4"/>
        <charset val="136"/>
      </rPr>
      <t>，</t>
    </r>
    <r>
      <rPr>
        <b/>
        <sz val="14"/>
        <rFont val="Times New Roman"/>
        <family val="1"/>
      </rPr>
      <t>2</t>
    </r>
    <r>
      <rPr>
        <b/>
        <sz val="14"/>
        <rFont val="標楷體"/>
        <family val="4"/>
        <charset val="136"/>
      </rPr>
      <t>個月內提出書面報告，始得動支」。</t>
    </r>
    <r>
      <rPr>
        <sz val="14"/>
        <rFont val="Times New Roman"/>
        <family val="1"/>
      </rPr>
      <t xml:space="preserve">
</t>
    </r>
    <r>
      <rPr>
        <sz val="14"/>
        <rFont val="標楷體"/>
        <family val="4"/>
        <charset val="136"/>
      </rPr>
      <t>二、訴訟費用與打擊詐欺訴訟有關，例如未落實核對用戶資料（未落實</t>
    </r>
    <r>
      <rPr>
        <sz val="14"/>
        <rFont val="Times New Roman"/>
        <family val="1"/>
      </rPr>
      <t>KYC</t>
    </r>
    <r>
      <rPr>
        <sz val="14"/>
        <rFont val="標楷體"/>
        <family val="4"/>
        <charset val="136"/>
      </rPr>
      <t>涉詐）等重大訴訟案件，實有必要編列相關訴訟費用予以支應。</t>
    </r>
    <r>
      <rPr>
        <sz val="14"/>
        <rFont val="Times New Roman"/>
        <family val="1"/>
      </rPr>
      <t>114</t>
    </r>
    <r>
      <rPr>
        <sz val="14"/>
        <rFont val="標楷體"/>
        <family val="4"/>
        <charset val="136"/>
      </rPr>
      <t>年度所編列訴訟費用</t>
    </r>
    <r>
      <rPr>
        <sz val="14"/>
        <rFont val="Times New Roman"/>
        <family val="1"/>
      </rPr>
      <t>70</t>
    </r>
    <r>
      <rPr>
        <sz val="14"/>
        <rFont val="標楷體"/>
        <family val="4"/>
        <charset val="136"/>
      </rPr>
      <t>萬元，亦將用於支應裁罰不法電信業者所提起訴訟案可能之訴訟費用。
三、本年截至</t>
    </r>
    <r>
      <rPr>
        <sz val="14"/>
        <rFont val="Times New Roman"/>
        <family val="1"/>
      </rPr>
      <t>4</t>
    </r>
    <r>
      <rPr>
        <sz val="14"/>
        <rFont val="標楷體"/>
        <family val="4"/>
        <charset val="136"/>
      </rPr>
      <t>月底執行數</t>
    </r>
    <r>
      <rPr>
        <sz val="14"/>
        <rFont val="Times New Roman"/>
        <family val="1"/>
      </rPr>
      <t>30</t>
    </r>
    <r>
      <rPr>
        <sz val="14"/>
        <rFont val="標楷體"/>
        <family val="4"/>
        <charset val="136"/>
      </rPr>
      <t>千元，預估尚須執行</t>
    </r>
    <r>
      <rPr>
        <sz val="14"/>
        <rFont val="Times New Roman"/>
        <family val="1"/>
      </rPr>
      <t>670</t>
    </r>
    <r>
      <rPr>
        <sz val="14"/>
        <rFont val="標楷體"/>
        <family val="4"/>
        <charset val="136"/>
      </rPr>
      <t>千元，全年共需</t>
    </r>
    <r>
      <rPr>
        <sz val="14"/>
        <rFont val="Times New Roman"/>
        <family val="1"/>
      </rPr>
      <t>700</t>
    </r>
    <r>
      <rPr>
        <sz val="14"/>
        <rFont val="標楷體"/>
        <family val="4"/>
        <charset val="136"/>
      </rPr>
      <t>千元。</t>
    </r>
    <phoneticPr fontId="32" type="noConversion"/>
  </si>
  <si>
    <r>
      <rPr>
        <sz val="14"/>
        <rFont val="標楷體"/>
        <family val="4"/>
        <charset val="136"/>
      </rPr>
      <t>委保</t>
    </r>
    <r>
      <rPr>
        <sz val="14"/>
        <rFont val="Times New Roman"/>
        <family val="1"/>
      </rPr>
      <t>74</t>
    </r>
  </si>
  <si>
    <r>
      <rPr>
        <sz val="14"/>
        <rFont val="標楷體"/>
        <family val="4"/>
        <charset val="136"/>
      </rPr>
      <t>「地區監理計畫</t>
    </r>
    <r>
      <rPr>
        <sz val="14"/>
        <rFont val="Times New Roman"/>
        <family val="1"/>
      </rPr>
      <t>-</t>
    </r>
    <r>
      <rPr>
        <sz val="14"/>
        <rFont val="標楷體"/>
        <family val="4"/>
        <charset val="136"/>
      </rPr>
      <t>媒體政策及業務宣導費」編列</t>
    </r>
    <r>
      <rPr>
        <sz val="14"/>
        <rFont val="Times New Roman"/>
        <family val="1"/>
      </rPr>
      <t>252</t>
    </r>
    <r>
      <rPr>
        <sz val="14"/>
        <rFont val="標楷體"/>
        <family val="4"/>
        <charset val="136"/>
      </rPr>
      <t>萬元，各機關媒體宣傳費連續</t>
    </r>
    <r>
      <rPr>
        <sz val="14"/>
        <rFont val="Times New Roman"/>
        <family val="1"/>
      </rPr>
      <t>3</t>
    </r>
    <r>
      <rPr>
        <sz val="14"/>
        <rFont val="標楷體"/>
        <family val="4"/>
        <charset val="136"/>
      </rPr>
      <t>年得標廠商採限制型招標居多，且得標廠商集中度甚高，幾乎獨厚特定綠媒，爰減列</t>
    </r>
    <r>
      <rPr>
        <sz val="14"/>
        <rFont val="Times New Roman"/>
        <family val="1"/>
      </rPr>
      <t>252</t>
    </r>
    <r>
      <rPr>
        <sz val="14"/>
        <rFont val="標楷體"/>
        <family val="4"/>
        <charset val="136"/>
      </rPr>
      <t>萬元。</t>
    </r>
    <phoneticPr fontId="32" type="noConversion"/>
  </si>
  <si>
    <r>
      <rPr>
        <b/>
        <sz val="14"/>
        <rFont val="標楷體"/>
        <family val="4"/>
        <charset val="136"/>
      </rPr>
      <t>一、建請第</t>
    </r>
    <r>
      <rPr>
        <b/>
        <sz val="14"/>
        <rFont val="Times New Roman"/>
        <family val="1"/>
      </rPr>
      <t>8</t>
    </r>
    <r>
      <rPr>
        <b/>
        <sz val="14"/>
        <rFont val="標楷體"/>
        <family val="4"/>
        <charset val="136"/>
      </rPr>
      <t>、</t>
    </r>
    <r>
      <rPr>
        <b/>
        <sz val="14"/>
        <rFont val="Times New Roman"/>
        <family val="1"/>
      </rPr>
      <t>74</t>
    </r>
    <r>
      <rPr>
        <b/>
        <sz val="14"/>
        <rFont val="標楷體"/>
        <family val="4"/>
        <charset val="136"/>
      </rPr>
      <t>及</t>
    </r>
    <r>
      <rPr>
        <b/>
        <sz val="14"/>
        <rFont val="Times New Roman"/>
        <family val="1"/>
      </rPr>
      <t>75</t>
    </r>
    <r>
      <rPr>
        <b/>
        <sz val="14"/>
        <rFont val="標楷體"/>
        <family val="4"/>
        <charset val="136"/>
      </rPr>
      <t>案併案處理，免予減列，修正提案文字為「</t>
    </r>
    <r>
      <rPr>
        <b/>
        <sz val="14"/>
        <rFont val="Times New Roman"/>
        <family val="1"/>
      </rPr>
      <t>……</t>
    </r>
    <r>
      <rPr>
        <b/>
        <sz val="14"/>
        <rFont val="標楷體"/>
        <family val="4"/>
        <charset val="136"/>
      </rPr>
      <t xml:space="preserve">請國家通訊傳播委員會於三個月內向立法院交通委員會提出書面報告」。
</t>
    </r>
    <r>
      <rPr>
        <sz val="14"/>
        <rFont val="標楷體"/>
        <family val="4"/>
        <charset val="136"/>
      </rPr>
      <t>二、同第</t>
    </r>
    <r>
      <rPr>
        <sz val="14"/>
        <rFont val="Times New Roman"/>
        <family val="1"/>
      </rPr>
      <t>8</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2,520</t>
    </r>
    <r>
      <rPr>
        <sz val="14"/>
        <rFont val="標楷體"/>
        <family val="4"/>
        <charset val="136"/>
      </rPr>
      <t>千元，全年共</t>
    </r>
    <r>
      <rPr>
        <sz val="14"/>
        <rFont val="Times New Roman"/>
        <family val="1"/>
      </rPr>
      <t>2,520</t>
    </r>
    <r>
      <rPr>
        <sz val="14"/>
        <rFont val="標楷體"/>
        <family val="4"/>
        <charset val="136"/>
      </rPr>
      <t>千元。</t>
    </r>
    <phoneticPr fontId="32" type="noConversion"/>
  </si>
  <si>
    <r>
      <rPr>
        <sz val="14"/>
        <rFont val="標楷體"/>
        <family val="4"/>
        <charset val="136"/>
      </rPr>
      <t>委保</t>
    </r>
    <r>
      <rPr>
        <sz val="14"/>
        <rFont val="Times New Roman"/>
        <family val="1"/>
      </rPr>
      <t>75</t>
    </r>
  </si>
  <si>
    <r>
      <rPr>
        <sz val="14"/>
        <rFont val="標楷體"/>
        <family val="4"/>
        <charset val="136"/>
      </rPr>
      <t>「地區監理計畫</t>
    </r>
    <r>
      <rPr>
        <sz val="14"/>
        <rFont val="Times New Roman"/>
        <family val="1"/>
      </rPr>
      <t>-</t>
    </r>
    <r>
      <rPr>
        <sz val="14"/>
        <rFont val="標楷體"/>
        <family val="4"/>
        <charset val="136"/>
      </rPr>
      <t>媒體政策及業務宣導費」編列</t>
    </r>
    <r>
      <rPr>
        <sz val="14"/>
        <rFont val="Times New Roman"/>
        <family val="1"/>
      </rPr>
      <t>252</t>
    </r>
    <r>
      <rPr>
        <sz val="14"/>
        <rFont val="標楷體"/>
        <family val="4"/>
        <charset val="136"/>
      </rPr>
      <t>萬元，各機關媒體宣傳費連續</t>
    </r>
    <r>
      <rPr>
        <sz val="14"/>
        <rFont val="Times New Roman"/>
        <family val="1"/>
      </rPr>
      <t>3</t>
    </r>
    <r>
      <rPr>
        <sz val="14"/>
        <rFont val="標楷體"/>
        <family val="4"/>
        <charset val="136"/>
      </rPr>
      <t>年得標廠商採限制型招標居多，且得標廠商集中度甚高，有獨厚特定媒體及廠商疑慮，爰減列</t>
    </r>
    <r>
      <rPr>
        <sz val="14"/>
        <rFont val="Times New Roman"/>
        <family val="1"/>
      </rPr>
      <t>252</t>
    </r>
    <r>
      <rPr>
        <sz val="14"/>
        <rFont val="標楷體"/>
        <family val="4"/>
        <charset val="136"/>
      </rPr>
      <t>萬元。</t>
    </r>
    <phoneticPr fontId="32" type="noConversion"/>
  </si>
  <si>
    <r>
      <rPr>
        <b/>
        <sz val="14"/>
        <rFont val="標楷體"/>
        <family val="4"/>
        <charset val="136"/>
      </rPr>
      <t>一、建請第</t>
    </r>
    <r>
      <rPr>
        <b/>
        <sz val="14"/>
        <rFont val="Times New Roman"/>
        <family val="1"/>
      </rPr>
      <t>8</t>
    </r>
    <r>
      <rPr>
        <b/>
        <sz val="14"/>
        <rFont val="標楷體"/>
        <family val="4"/>
        <charset val="136"/>
      </rPr>
      <t>、</t>
    </r>
    <r>
      <rPr>
        <b/>
        <sz val="14"/>
        <rFont val="Times New Roman"/>
        <family val="1"/>
      </rPr>
      <t>74</t>
    </r>
    <r>
      <rPr>
        <b/>
        <sz val="14"/>
        <rFont val="標楷體"/>
        <family val="4"/>
        <charset val="136"/>
      </rPr>
      <t>及</t>
    </r>
    <r>
      <rPr>
        <b/>
        <sz val="14"/>
        <rFont val="Times New Roman"/>
        <family val="1"/>
      </rPr>
      <t>75</t>
    </r>
    <r>
      <rPr>
        <b/>
        <sz val="14"/>
        <rFont val="標楷體"/>
        <family val="4"/>
        <charset val="136"/>
      </rPr>
      <t>案併案處理，免予減列，修正提案文字為「</t>
    </r>
    <r>
      <rPr>
        <b/>
        <sz val="14"/>
        <rFont val="Times New Roman"/>
        <family val="1"/>
      </rPr>
      <t>……</t>
    </r>
    <r>
      <rPr>
        <b/>
        <sz val="14"/>
        <rFont val="標楷體"/>
        <family val="4"/>
        <charset val="136"/>
      </rPr>
      <t>請國家通訊傳播委員會於三個月內向立法院交通委員會提出書面報告」。</t>
    </r>
    <r>
      <rPr>
        <sz val="14"/>
        <rFont val="Times New Roman"/>
        <family val="1"/>
      </rPr>
      <t xml:space="preserve">
</t>
    </r>
    <r>
      <rPr>
        <sz val="14"/>
        <rFont val="標楷體"/>
        <family val="4"/>
        <charset val="136"/>
      </rPr>
      <t>二、同第</t>
    </r>
    <r>
      <rPr>
        <sz val="14"/>
        <rFont val="Times New Roman"/>
        <family val="1"/>
      </rPr>
      <t>8</t>
    </r>
    <r>
      <rPr>
        <sz val="14"/>
        <rFont val="標楷體"/>
        <family val="4"/>
        <charset val="136"/>
      </rPr>
      <t>案說明。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2,520</t>
    </r>
    <r>
      <rPr>
        <sz val="14"/>
        <rFont val="標楷體"/>
        <family val="4"/>
        <charset val="136"/>
      </rPr>
      <t>千元，全年共</t>
    </r>
    <r>
      <rPr>
        <sz val="14"/>
        <rFont val="Times New Roman"/>
        <family val="1"/>
      </rPr>
      <t>2,520</t>
    </r>
    <r>
      <rPr>
        <sz val="14"/>
        <rFont val="標楷體"/>
        <family val="4"/>
        <charset val="136"/>
      </rPr>
      <t>千元。</t>
    </r>
    <phoneticPr fontId="32" type="noConversion"/>
  </si>
  <si>
    <r>
      <rPr>
        <sz val="14"/>
        <rFont val="標楷體"/>
        <family val="4"/>
        <charset val="136"/>
      </rPr>
      <t>委保</t>
    </r>
    <r>
      <rPr>
        <sz val="14"/>
        <rFont val="Times New Roman"/>
        <family val="1"/>
      </rPr>
      <t>76</t>
    </r>
  </si>
  <si>
    <r>
      <rPr>
        <sz val="14"/>
        <rFont val="標楷體"/>
        <family val="4"/>
        <charset val="136"/>
      </rPr>
      <t>「地區監理計畫</t>
    </r>
    <r>
      <rPr>
        <sz val="14"/>
        <rFont val="Times New Roman"/>
        <family val="1"/>
      </rPr>
      <t>-</t>
    </r>
    <r>
      <rPr>
        <sz val="14"/>
        <rFont val="標楷體"/>
        <family val="4"/>
        <charset val="136"/>
      </rPr>
      <t>推展費」編列</t>
    </r>
    <r>
      <rPr>
        <sz val="14"/>
        <rFont val="Times New Roman"/>
        <family val="1"/>
      </rPr>
      <t>197</t>
    </r>
    <r>
      <rPr>
        <sz val="14"/>
        <rFont val="標楷體"/>
        <family val="4"/>
        <charset val="136"/>
      </rPr>
      <t>萬</t>
    </r>
    <r>
      <rPr>
        <sz val="14"/>
        <rFont val="Times New Roman"/>
        <family val="1"/>
      </rPr>
      <t>2</t>
    </r>
    <r>
      <rPr>
        <sz val="14"/>
        <rFont val="標楷體"/>
        <family val="4"/>
        <charset val="136"/>
      </rPr>
      <t>千元，辦理兒童及少年上網安全等宣導活動，惟難衡量對提升民眾網路素養等貢獻，為使資源有效配置於核心監管職責，爰減列</t>
    </r>
    <r>
      <rPr>
        <sz val="14"/>
        <rFont val="Times New Roman"/>
        <family val="1"/>
      </rPr>
      <t>90</t>
    </r>
    <r>
      <rPr>
        <sz val="14"/>
        <rFont val="標楷體"/>
        <family val="4"/>
        <charset val="136"/>
      </rPr>
      <t>萬元。</t>
    </r>
    <phoneticPr fontId="32" type="noConversion"/>
  </si>
  <si>
    <r>
      <rPr>
        <b/>
        <sz val="14"/>
        <rFont val="標楷體"/>
        <family val="4"/>
        <charset val="136"/>
      </rPr>
      <t>一、建請免予減列，並請修正提案文字為「</t>
    </r>
    <r>
      <rPr>
        <b/>
        <sz val="14"/>
        <rFont val="Times New Roman"/>
        <family val="1"/>
      </rPr>
      <t>……</t>
    </r>
    <r>
      <rPr>
        <b/>
        <sz val="14"/>
        <rFont val="標楷體"/>
        <family val="4"/>
        <charset val="136"/>
      </rPr>
      <t>請國家通訊傳播委員會於</t>
    </r>
    <r>
      <rPr>
        <b/>
        <sz val="14"/>
        <rFont val="Times New Roman"/>
        <family val="1"/>
      </rPr>
      <t>3</t>
    </r>
    <r>
      <rPr>
        <b/>
        <sz val="14"/>
        <rFont val="標楷體"/>
        <family val="4"/>
        <charset val="136"/>
      </rPr>
      <t>個月內向立法院交通委員會提出書面報告」。</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年度「地區監理計畫</t>
    </r>
    <r>
      <rPr>
        <sz val="14"/>
        <rFont val="Times New Roman"/>
        <family val="1"/>
      </rPr>
      <t>-</t>
    </r>
    <r>
      <rPr>
        <sz val="14"/>
        <rFont val="標楷體"/>
        <family val="4"/>
        <charset val="136"/>
      </rPr>
      <t>推展費」，係用於現場宣導會俾向民眾強化「電磁波安全知識」、「</t>
    </r>
    <r>
      <rPr>
        <sz val="14"/>
        <rFont val="Times New Roman"/>
        <family val="1"/>
      </rPr>
      <t>112</t>
    </r>
    <r>
      <rPr>
        <sz val="14"/>
        <rFont val="標楷體"/>
        <family val="4"/>
        <charset val="136"/>
      </rPr>
      <t>緊急救難電話、「災防告警系統之細胞廣播服務」及「電信管制射頻器材法遵</t>
    </r>
    <r>
      <rPr>
        <sz val="14"/>
        <rFont val="Times New Roman"/>
        <family val="1"/>
      </rPr>
      <t>(</t>
    </r>
    <r>
      <rPr>
        <sz val="14"/>
        <rFont val="標楷體"/>
        <family val="4"/>
        <charset val="136"/>
      </rPr>
      <t>無人機、藍牙等使用</t>
    </r>
    <r>
      <rPr>
        <sz val="14"/>
        <rFont val="Times New Roman"/>
        <family val="1"/>
      </rPr>
      <t>)</t>
    </r>
    <r>
      <rPr>
        <sz val="14"/>
        <rFont val="標楷體"/>
        <family val="4"/>
        <charset val="136"/>
      </rPr>
      <t>」等知識，爰仍需持續加強宣導。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1,972</t>
    </r>
    <r>
      <rPr>
        <sz val="14"/>
        <rFont val="標楷體"/>
        <family val="4"/>
        <charset val="136"/>
      </rPr>
      <t>千元，全年共需</t>
    </r>
    <r>
      <rPr>
        <sz val="14"/>
        <rFont val="Times New Roman"/>
        <family val="1"/>
      </rPr>
      <t>1,972</t>
    </r>
    <r>
      <rPr>
        <sz val="14"/>
        <rFont val="標楷體"/>
        <family val="4"/>
        <charset val="136"/>
      </rPr>
      <t>千元。</t>
    </r>
    <phoneticPr fontId="32" type="noConversion"/>
  </si>
  <si>
    <r>
      <rPr>
        <sz val="14"/>
        <rFont val="標楷體"/>
        <family val="4"/>
        <charset val="136"/>
      </rPr>
      <t>委保</t>
    </r>
    <r>
      <rPr>
        <sz val="14"/>
        <rFont val="Times New Roman"/>
        <family val="1"/>
      </rPr>
      <t>77</t>
    </r>
  </si>
  <si>
    <r>
      <rPr>
        <sz val="14"/>
        <rFont val="標楷體"/>
        <family val="4"/>
        <charset val="136"/>
      </rPr>
      <t>今</t>
    </r>
    <r>
      <rPr>
        <sz val="14"/>
        <rFont val="Times New Roman"/>
        <family val="1"/>
      </rPr>
      <t>(113)</t>
    </r>
    <r>
      <rPr>
        <sz val="14"/>
        <rFont val="標楷體"/>
        <family val="4"/>
        <charset val="136"/>
      </rPr>
      <t>年發生「創意私房」散佈兒少性影像事件後，部分第二類電信業者因尚未要求加入</t>
    </r>
    <r>
      <rPr>
        <sz val="14"/>
        <rFont val="Times New Roman"/>
        <family val="1"/>
      </rPr>
      <t>TWNIC</t>
    </r>
    <r>
      <rPr>
        <sz val="14"/>
        <rFont val="標楷體"/>
        <family val="4"/>
        <charset val="136"/>
      </rPr>
      <t>，致民眾仍得透過該類電信業者切換</t>
    </r>
    <r>
      <rPr>
        <sz val="14"/>
        <rFont val="Times New Roman"/>
        <family val="1"/>
      </rPr>
      <t>VPN</t>
    </r>
    <r>
      <rPr>
        <sz val="14"/>
        <rFont val="標楷體"/>
        <family val="4"/>
        <charset val="136"/>
      </rPr>
      <t>連接「創意私房」，爰要求通傳會於三個月內提出書面報告。</t>
    </r>
    <phoneticPr fontId="32" type="noConversion"/>
  </si>
  <si>
    <r>
      <rPr>
        <b/>
        <sz val="14"/>
        <rFont val="標楷體"/>
        <family val="4"/>
        <charset val="136"/>
      </rPr>
      <t>有線廣播電視事業發展基金</t>
    </r>
    <phoneticPr fontId="32" type="noConversion"/>
  </si>
  <si>
    <r>
      <rPr>
        <b/>
        <sz val="14"/>
        <rFont val="標楷體"/>
        <family val="4"/>
        <charset val="136"/>
      </rPr>
      <t>共</t>
    </r>
    <r>
      <rPr>
        <b/>
        <sz val="14"/>
        <rFont val="Times New Roman"/>
        <family val="1"/>
      </rPr>
      <t>24</t>
    </r>
    <r>
      <rPr>
        <b/>
        <sz val="14"/>
        <rFont val="標楷體"/>
        <family val="4"/>
        <charset val="136"/>
      </rPr>
      <t>案</t>
    </r>
    <phoneticPr fontId="32" type="noConversion"/>
  </si>
  <si>
    <r>
      <rPr>
        <sz val="14"/>
        <rFont val="標楷體"/>
        <family val="4"/>
        <charset val="136"/>
      </rPr>
      <t>「撥付地方政府及捐贈公視計畫」編列</t>
    </r>
    <r>
      <rPr>
        <sz val="14"/>
        <rFont val="Times New Roman"/>
        <family val="1"/>
      </rPr>
      <t>1</t>
    </r>
    <r>
      <rPr>
        <sz val="14"/>
        <rFont val="標楷體"/>
        <family val="4"/>
        <charset val="136"/>
      </rPr>
      <t>億</t>
    </r>
    <r>
      <rPr>
        <sz val="14"/>
        <rFont val="Times New Roman"/>
        <family val="1"/>
      </rPr>
      <t>9,105</t>
    </r>
    <r>
      <rPr>
        <sz val="14"/>
        <rFont val="標楷體"/>
        <family val="4"/>
        <charset val="136"/>
      </rPr>
      <t>萬</t>
    </r>
    <r>
      <rPr>
        <sz val="14"/>
        <rFont val="Times New Roman"/>
        <family val="1"/>
      </rPr>
      <t>6</t>
    </r>
    <r>
      <rPr>
        <sz val="14"/>
        <rFont val="標楷體"/>
        <family val="4"/>
        <charset val="136"/>
      </rPr>
      <t>千元，惟</t>
    </r>
    <r>
      <rPr>
        <sz val="14"/>
        <rFont val="Times New Roman"/>
        <family val="1"/>
      </rPr>
      <t>112</t>
    </r>
    <r>
      <rPr>
        <sz val="14"/>
        <rFont val="標楷體"/>
        <family val="4"/>
        <charset val="136"/>
      </rPr>
      <t>年度部分地方政府對撥款之運用未符專款專用原則及相關規範。為確保地方政府依規定運用資源，爰凍結</t>
    </r>
    <r>
      <rPr>
        <sz val="14"/>
        <rFont val="Times New Roman"/>
        <family val="1"/>
      </rPr>
      <t>15</t>
    </r>
    <r>
      <rPr>
        <sz val="14"/>
        <rFont val="標楷體"/>
        <family val="4"/>
        <charset val="136"/>
      </rPr>
      <t>％，提出書面報告後始得動支。</t>
    </r>
  </si>
  <si>
    <r>
      <rPr>
        <b/>
        <sz val="14"/>
        <rFont val="標楷體"/>
        <family val="4"/>
        <charset val="136"/>
      </rPr>
      <t>一、建請免予凍結，並修正提案文字為「提出書面報告」。</t>
    </r>
    <r>
      <rPr>
        <sz val="14"/>
        <rFont val="Times New Roman"/>
        <family val="1"/>
      </rPr>
      <t xml:space="preserve">
</t>
    </r>
    <r>
      <rPr>
        <sz val="14"/>
        <rFont val="標楷體"/>
        <family val="4"/>
        <charset val="136"/>
      </rPr>
      <t>二、通傳會為鼓勵地方政府有效運用有線基金，近年均於有線廣播電視發展研討會（地方政府場）就列為「優等」之地方政府進行公開表揚，以促使各地方政府進行標竿學習，且基於前開考核程序，各地方政府近</t>
    </r>
    <r>
      <rPr>
        <sz val="14"/>
        <rFont val="Times New Roman"/>
        <family val="1"/>
      </rPr>
      <t xml:space="preserve"> 3 </t>
    </r>
    <r>
      <rPr>
        <sz val="14"/>
        <rFont val="標楷體"/>
        <family val="4"/>
        <charset val="136"/>
      </rPr>
      <t>年度運用本基金執行情形考核結果整體成效均有提升。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191,056</t>
    </r>
    <r>
      <rPr>
        <sz val="14"/>
        <rFont val="標楷體"/>
        <family val="4"/>
        <charset val="136"/>
      </rPr>
      <t>千元，全年共需</t>
    </r>
    <r>
      <rPr>
        <sz val="14"/>
        <rFont val="Times New Roman"/>
        <family val="1"/>
      </rPr>
      <t>191,056</t>
    </r>
    <r>
      <rPr>
        <sz val="14"/>
        <rFont val="標楷體"/>
        <family val="4"/>
        <charset val="136"/>
      </rPr>
      <t>千元。</t>
    </r>
    <phoneticPr fontId="32" type="noConversion"/>
  </si>
  <si>
    <r>
      <rPr>
        <sz val="14"/>
        <rFont val="標楷體"/>
        <family val="4"/>
        <charset val="136"/>
      </rPr>
      <t>「撥付地方政府及捐贈公視計畫</t>
    </r>
    <r>
      <rPr>
        <sz val="14"/>
        <rFont val="Times New Roman"/>
        <family val="1"/>
      </rPr>
      <t>-</t>
    </r>
    <r>
      <rPr>
        <sz val="14"/>
        <rFont val="標楷體"/>
        <family val="4"/>
        <charset val="136"/>
      </rPr>
      <t>捐助、補助與獎助</t>
    </r>
    <r>
      <rPr>
        <sz val="14"/>
        <rFont val="Times New Roman"/>
        <family val="1"/>
      </rPr>
      <t>-</t>
    </r>
    <r>
      <rPr>
        <sz val="14"/>
        <rFont val="標楷體"/>
        <family val="4"/>
        <charset val="136"/>
      </rPr>
      <t>撥付地方政府」編列</t>
    </r>
    <r>
      <rPr>
        <sz val="14"/>
        <rFont val="Times New Roman"/>
        <family val="1"/>
      </rPr>
      <t>1</t>
    </r>
    <r>
      <rPr>
        <sz val="14"/>
        <rFont val="標楷體"/>
        <family val="4"/>
        <charset val="136"/>
      </rPr>
      <t>億</t>
    </r>
    <r>
      <rPr>
        <sz val="14"/>
        <rFont val="Times New Roman"/>
        <family val="1"/>
      </rPr>
      <t>917</t>
    </r>
    <r>
      <rPr>
        <sz val="14"/>
        <rFont val="標楷體"/>
        <family val="4"/>
        <charset val="136"/>
      </rPr>
      <t>萬</t>
    </r>
    <r>
      <rPr>
        <sz val="14"/>
        <rFont val="Times New Roman"/>
        <family val="1"/>
      </rPr>
      <t>5</t>
    </r>
    <r>
      <rPr>
        <sz val="14"/>
        <rFont val="標楷體"/>
        <family val="4"/>
        <charset val="136"/>
      </rPr>
      <t>千元，通傳會對地方政府實際執行缺失，後續之列管、追蹤方式等皆隻字未提，爰全數凍結，提出專案報告經同意後始得動支。</t>
    </r>
    <phoneticPr fontId="32" type="noConversion"/>
  </si>
  <si>
    <r>
      <rPr>
        <b/>
        <sz val="14"/>
        <rFont val="標楷體"/>
        <family val="4"/>
        <charset val="136"/>
      </rPr>
      <t>一、建請免予凍結，並修正提案文字為「提出書面報告」。</t>
    </r>
    <r>
      <rPr>
        <sz val="14"/>
        <rFont val="Times New Roman"/>
        <family val="1"/>
      </rPr>
      <t xml:space="preserve">
</t>
    </r>
    <r>
      <rPr>
        <sz val="14"/>
        <rFont val="標楷體"/>
        <family val="4"/>
        <charset val="136"/>
      </rPr>
      <t>二、通傳會為鼓勵地方政府有效運用有線基金，近年均於有線廣播電視發展研討會（地方政府場）就列為「優等」之地方政府進行公開表揚，以促使各地方政府進行標竿學習，且基於前開考核程序，各地方政府近</t>
    </r>
    <r>
      <rPr>
        <sz val="14"/>
        <rFont val="Times New Roman"/>
        <family val="1"/>
      </rPr>
      <t xml:space="preserve"> 3 </t>
    </r>
    <r>
      <rPr>
        <sz val="14"/>
        <rFont val="標楷體"/>
        <family val="4"/>
        <charset val="136"/>
      </rPr>
      <t>年度運用本基金執行情形考核結果整體成效均有提升。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109,175</t>
    </r>
    <r>
      <rPr>
        <sz val="14"/>
        <rFont val="標楷體"/>
        <family val="4"/>
        <charset val="136"/>
      </rPr>
      <t>千元，全年共需</t>
    </r>
    <r>
      <rPr>
        <sz val="14"/>
        <rFont val="Times New Roman"/>
        <family val="1"/>
      </rPr>
      <t>109,175</t>
    </r>
    <r>
      <rPr>
        <sz val="14"/>
        <rFont val="標楷體"/>
        <family val="4"/>
        <charset val="136"/>
      </rPr>
      <t>千元。</t>
    </r>
    <phoneticPr fontId="32" type="noConversion"/>
  </si>
  <si>
    <r>
      <rPr>
        <sz val="14"/>
        <rFont val="標楷體"/>
        <family val="4"/>
        <charset val="136"/>
      </rPr>
      <t>「有線電視普及發展與災害復建補助計畫」編列</t>
    </r>
    <r>
      <rPr>
        <sz val="14"/>
        <rFont val="Times New Roman"/>
        <family val="1"/>
      </rPr>
      <t>7,888</t>
    </r>
    <r>
      <rPr>
        <sz val="14"/>
        <rFont val="標楷體"/>
        <family val="4"/>
        <charset val="136"/>
      </rPr>
      <t>萬</t>
    </r>
    <r>
      <rPr>
        <sz val="14"/>
        <rFont val="Times New Roman"/>
        <family val="1"/>
      </rPr>
      <t>8</t>
    </r>
    <r>
      <rPr>
        <sz val="14"/>
        <rFont val="標楷體"/>
        <family val="4"/>
        <charset val="136"/>
      </rPr>
      <t>千元，自</t>
    </r>
    <r>
      <rPr>
        <sz val="14"/>
        <rFont val="Times New Roman"/>
        <family val="1"/>
      </rPr>
      <t>108</t>
    </r>
    <r>
      <rPr>
        <sz val="14"/>
        <rFont val="標楷體"/>
        <family val="4"/>
        <charset val="136"/>
      </rPr>
      <t>年度起至</t>
    </r>
    <r>
      <rPr>
        <sz val="14"/>
        <rFont val="Times New Roman"/>
        <family val="1"/>
      </rPr>
      <t>113</t>
    </r>
    <r>
      <rPr>
        <sz val="14"/>
        <rFont val="標楷體"/>
        <family val="4"/>
        <charset val="136"/>
      </rPr>
      <t>年</t>
    </r>
    <r>
      <rPr>
        <sz val="14"/>
        <rFont val="Times New Roman"/>
        <family val="1"/>
      </rPr>
      <t>7</t>
    </r>
    <r>
      <rPr>
        <sz val="14"/>
        <rFont val="標楷體"/>
        <family val="4"/>
        <charset val="136"/>
      </rPr>
      <t>月底投入</t>
    </r>
    <r>
      <rPr>
        <sz val="14"/>
        <rFont val="Times New Roman"/>
        <family val="1"/>
      </rPr>
      <t>3.04</t>
    </r>
    <r>
      <rPr>
        <sz val="14"/>
        <rFont val="標楷體"/>
        <family val="4"/>
        <charset val="136"/>
      </rPr>
      <t>億元，補助有線廣播電視系統經營者但訂戶數未見回升成效不彰，爰刪減</t>
    </r>
    <r>
      <rPr>
        <sz val="14"/>
        <rFont val="Times New Roman"/>
        <family val="1"/>
      </rPr>
      <t>6,000</t>
    </r>
    <r>
      <rPr>
        <sz val="14"/>
        <rFont val="標楷體"/>
        <family val="4"/>
        <charset val="136"/>
      </rPr>
      <t>千元。</t>
    </r>
    <phoneticPr fontId="32" type="noConversion"/>
  </si>
  <si>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有線電視訂戶數流失，已研擬對策如下：善用有線基金輔導業者因應數位匯流競爭、推動分組付費賦予用戶選擇權、藉由評鑑換照機制促使業者優化訂戶服務及強化競爭力及配合科技創新與收視習慣改變調整服務樣態。因近年補助案件逐年增加，補助案之學者專家審查費逐年增加。
三、本年截至</t>
    </r>
    <r>
      <rPr>
        <sz val="14"/>
        <rFont val="Times New Roman"/>
        <family val="1"/>
      </rPr>
      <t>4</t>
    </r>
    <r>
      <rPr>
        <sz val="14"/>
        <rFont val="標楷體"/>
        <family val="4"/>
        <charset val="136"/>
      </rPr>
      <t>月底執行數</t>
    </r>
    <r>
      <rPr>
        <sz val="14"/>
        <rFont val="Times New Roman"/>
        <family val="1"/>
      </rPr>
      <t>592</t>
    </r>
    <r>
      <rPr>
        <sz val="14"/>
        <rFont val="標楷體"/>
        <family val="4"/>
        <charset val="136"/>
      </rPr>
      <t>千元，預估尚須執行</t>
    </r>
    <r>
      <rPr>
        <sz val="14"/>
        <rFont val="Times New Roman"/>
        <family val="1"/>
      </rPr>
      <t>78,296</t>
    </r>
    <r>
      <rPr>
        <sz val="14"/>
        <rFont val="標楷體"/>
        <family val="4"/>
        <charset val="136"/>
      </rPr>
      <t>千元，全年共需</t>
    </r>
    <r>
      <rPr>
        <sz val="14"/>
        <rFont val="Times New Roman"/>
        <family val="1"/>
      </rPr>
      <t>78,888</t>
    </r>
    <r>
      <rPr>
        <sz val="14"/>
        <rFont val="標楷體"/>
        <family val="4"/>
        <charset val="136"/>
      </rPr>
      <t>千元。</t>
    </r>
    <phoneticPr fontId="32" type="noConversion"/>
  </si>
  <si>
    <r>
      <rPr>
        <sz val="14"/>
        <rFont val="標楷體"/>
        <family val="4"/>
        <charset val="136"/>
      </rPr>
      <t>「有線電視普及發展與災害復建補助計畫」編列</t>
    </r>
    <r>
      <rPr>
        <sz val="14"/>
        <rFont val="Times New Roman"/>
        <family val="1"/>
      </rPr>
      <t>7,888</t>
    </r>
    <r>
      <rPr>
        <sz val="14"/>
        <rFont val="標楷體"/>
        <family val="4"/>
        <charset val="136"/>
      </rPr>
      <t>萬</t>
    </r>
    <r>
      <rPr>
        <sz val="14"/>
        <rFont val="Times New Roman"/>
        <family val="1"/>
      </rPr>
      <t>8</t>
    </r>
    <r>
      <rPr>
        <sz val="14"/>
        <rFont val="標楷體"/>
        <family val="4"/>
        <charset val="136"/>
      </rPr>
      <t>千元，有線電視用戶數流失，用戶數持續減少，爰刪減</t>
    </r>
    <r>
      <rPr>
        <sz val="14"/>
        <rFont val="Times New Roman"/>
        <family val="1"/>
      </rPr>
      <t>48,000</t>
    </r>
    <r>
      <rPr>
        <sz val="14"/>
        <rFont val="標楷體"/>
        <family val="4"/>
        <charset val="136"/>
      </rPr>
      <t>千元並凍結</t>
    </r>
    <r>
      <rPr>
        <sz val="14"/>
        <rFont val="Times New Roman"/>
        <family val="1"/>
      </rPr>
      <t>30</t>
    </r>
    <r>
      <rPr>
        <sz val="14"/>
        <rFont val="標楷體"/>
        <family val="4"/>
        <charset val="136"/>
      </rPr>
      <t>％，俟通傳會於</t>
    </r>
    <r>
      <rPr>
        <sz val="14"/>
        <rFont val="Times New Roman"/>
        <family val="1"/>
      </rPr>
      <t>3</t>
    </r>
    <r>
      <rPr>
        <sz val="14"/>
        <rFont val="標楷體"/>
        <family val="4"/>
        <charset val="136"/>
      </rPr>
      <t>個月內提出專案報告，經同意後始得動支。</t>
    </r>
  </si>
  <si>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二、本年截至</t>
    </r>
    <r>
      <rPr>
        <sz val="14"/>
        <rFont val="Times New Roman"/>
        <family val="1"/>
      </rPr>
      <t>4</t>
    </r>
    <r>
      <rPr>
        <sz val="14"/>
        <rFont val="標楷體"/>
        <family val="4"/>
        <charset val="136"/>
      </rPr>
      <t>月底執行數</t>
    </r>
    <r>
      <rPr>
        <sz val="14"/>
        <rFont val="Times New Roman"/>
        <family val="1"/>
      </rPr>
      <t>592</t>
    </r>
    <r>
      <rPr>
        <sz val="14"/>
        <rFont val="標楷體"/>
        <family val="4"/>
        <charset val="136"/>
      </rPr>
      <t>千元，預估尚須執行</t>
    </r>
    <r>
      <rPr>
        <sz val="14"/>
        <rFont val="Times New Roman"/>
        <family val="1"/>
      </rPr>
      <t>78,296</t>
    </r>
    <r>
      <rPr>
        <sz val="14"/>
        <rFont val="標楷體"/>
        <family val="4"/>
        <charset val="136"/>
      </rPr>
      <t>千元，全年共需</t>
    </r>
    <r>
      <rPr>
        <sz val="14"/>
        <rFont val="Times New Roman"/>
        <family val="1"/>
      </rPr>
      <t>78,888</t>
    </r>
    <r>
      <rPr>
        <sz val="14"/>
        <rFont val="標楷體"/>
        <family val="4"/>
        <charset val="136"/>
      </rPr>
      <t>千元。</t>
    </r>
    <phoneticPr fontId="32" type="noConversion"/>
  </si>
  <si>
    <r>
      <rPr>
        <sz val="14"/>
        <rFont val="標楷體"/>
        <family val="4"/>
        <charset val="136"/>
      </rPr>
      <t>「有線電視普及發展與災害復建補助計畫」編列</t>
    </r>
    <r>
      <rPr>
        <sz val="14"/>
        <rFont val="Times New Roman"/>
        <family val="1"/>
      </rPr>
      <t>7,888</t>
    </r>
    <r>
      <rPr>
        <sz val="14"/>
        <rFont val="標楷體"/>
        <family val="4"/>
        <charset val="136"/>
      </rPr>
      <t>萬</t>
    </r>
    <r>
      <rPr>
        <sz val="14"/>
        <rFont val="Times New Roman"/>
        <family val="1"/>
      </rPr>
      <t>8</t>
    </r>
    <r>
      <rPr>
        <sz val="14"/>
        <rFont val="標楷體"/>
        <family val="4"/>
        <charset val="136"/>
      </rPr>
      <t>千元，通傳會投入大量經費補助電視系統業者仍無法提升，爰凍結</t>
    </r>
    <r>
      <rPr>
        <sz val="14"/>
        <rFont val="Times New Roman"/>
        <family val="1"/>
      </rPr>
      <t>10</t>
    </r>
    <r>
      <rPr>
        <sz val="14"/>
        <rFont val="標楷體"/>
        <family val="4"/>
        <charset val="136"/>
      </rPr>
      <t>％，於</t>
    </r>
    <r>
      <rPr>
        <sz val="14"/>
        <rFont val="Times New Roman"/>
        <family val="1"/>
      </rPr>
      <t>3</t>
    </r>
    <r>
      <rPr>
        <sz val="14"/>
        <rFont val="標楷體"/>
        <family val="4"/>
        <charset val="136"/>
      </rPr>
      <t>個月內提出書面報告後始得動支。</t>
    </r>
  </si>
  <si>
    <r>
      <rPr>
        <b/>
        <sz val="14"/>
        <rFont val="標楷體"/>
        <family val="4"/>
        <charset val="136"/>
      </rPr>
      <t>遵照辦理</t>
    </r>
    <r>
      <rPr>
        <sz val="14"/>
        <rFont val="標楷體"/>
        <family val="4"/>
        <charset val="136"/>
      </rPr>
      <t>（通傳會遵照辦理，惟礙於委員會保留提案未審查）。</t>
    </r>
    <phoneticPr fontId="32" type="noConversion"/>
  </si>
  <si>
    <r>
      <rPr>
        <sz val="14"/>
        <rFont val="標楷體"/>
        <family val="4"/>
        <charset val="136"/>
      </rPr>
      <t>「有線電視普及發展與災害復建補助計畫」編列</t>
    </r>
    <r>
      <rPr>
        <sz val="14"/>
        <rFont val="Times New Roman"/>
        <family val="1"/>
      </rPr>
      <t>7,888</t>
    </r>
    <r>
      <rPr>
        <sz val="14"/>
        <rFont val="標楷體"/>
        <family val="4"/>
        <charset val="136"/>
      </rPr>
      <t>萬</t>
    </r>
    <r>
      <rPr>
        <sz val="14"/>
        <rFont val="Times New Roman"/>
        <family val="1"/>
      </rPr>
      <t>8</t>
    </r>
    <r>
      <rPr>
        <sz val="14"/>
        <rFont val="標楷體"/>
        <family val="4"/>
        <charset val="136"/>
      </rPr>
      <t>千元，隨智慧聯網裝置普及網路串流快速崛起，致傳統有線電視收視戶流失，爰凍結</t>
    </r>
    <r>
      <rPr>
        <sz val="14"/>
        <rFont val="Times New Roman"/>
        <family val="1"/>
      </rPr>
      <t>500</t>
    </r>
    <r>
      <rPr>
        <sz val="14"/>
        <rFont val="標楷體"/>
        <family val="4"/>
        <charset val="136"/>
      </rPr>
      <t>萬元，俟通傳會於</t>
    </r>
    <r>
      <rPr>
        <sz val="14"/>
        <rFont val="Times New Roman"/>
        <family val="1"/>
      </rPr>
      <t>3</t>
    </r>
    <r>
      <rPr>
        <sz val="14"/>
        <rFont val="標楷體"/>
        <family val="4"/>
        <charset val="136"/>
      </rPr>
      <t>個月內提出書面報告後始得動支。</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</si>
  <si>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旅運費」編列</t>
    </r>
    <r>
      <rPr>
        <sz val="14"/>
        <rFont val="Times New Roman"/>
        <family val="1"/>
      </rPr>
      <t>19</t>
    </r>
    <r>
      <rPr>
        <sz val="14"/>
        <rFont val="標楷體"/>
        <family val="4"/>
        <charset val="136"/>
      </rPr>
      <t>萬</t>
    </r>
    <r>
      <rPr>
        <sz val="14"/>
        <rFont val="Times New Roman"/>
        <family val="1"/>
      </rPr>
      <t>2</t>
    </r>
    <r>
      <rPr>
        <sz val="14"/>
        <rFont val="標楷體"/>
        <family val="4"/>
        <charset val="136"/>
      </rPr>
      <t>千元，較</t>
    </r>
    <r>
      <rPr>
        <sz val="14"/>
        <rFont val="Times New Roman"/>
        <family val="1"/>
      </rPr>
      <t>113</t>
    </r>
    <r>
      <rPr>
        <sz val="14"/>
        <rFont val="標楷體"/>
        <family val="4"/>
        <charset val="136"/>
      </rPr>
      <t>年度增加</t>
    </r>
    <r>
      <rPr>
        <sz val="14"/>
        <rFont val="Times New Roman"/>
        <family val="1"/>
      </rPr>
      <t>4</t>
    </r>
    <r>
      <rPr>
        <sz val="14"/>
        <rFont val="標楷體"/>
        <family val="4"/>
        <charset val="136"/>
      </rPr>
      <t>萬</t>
    </r>
    <r>
      <rPr>
        <sz val="14"/>
        <rFont val="Times New Roman"/>
        <family val="1"/>
      </rPr>
      <t>2</t>
    </r>
    <r>
      <rPr>
        <sz val="14"/>
        <rFont val="標楷體"/>
        <family val="4"/>
        <charset val="136"/>
      </rPr>
      <t>千元卻未說明增列原因，再者，國內有線電視收視戶逐年下降，卻未出具改善政策或計畫，爰全數刪減。</t>
    </r>
    <phoneticPr fontId="32" type="noConversion"/>
  </si>
  <si>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二、為配合行政院修正「國內出差旅費報支要點」，調整</t>
    </r>
    <r>
      <rPr>
        <sz val="14"/>
        <rFont val="Times New Roman"/>
        <family val="1"/>
      </rPr>
      <t>114</t>
    </r>
    <r>
      <rPr>
        <sz val="14"/>
        <rFont val="標楷體"/>
        <family val="4"/>
        <charset val="136"/>
      </rPr>
      <t>年旅運費，致預算編列較</t>
    </r>
    <r>
      <rPr>
        <sz val="14"/>
        <rFont val="Times New Roman"/>
        <family val="1"/>
      </rPr>
      <t>113</t>
    </r>
    <r>
      <rPr>
        <sz val="14"/>
        <rFont val="標楷體"/>
        <family val="4"/>
        <charset val="136"/>
      </rPr>
      <t>年提高。實地訪查部分，係為蒐集各地方政府及系統經營者在地意見，並查核系統經營者之訊號品質，以確保訂戶之收視權益，爰編列經費供有線基金管理會實地訪查所需。
三、本年截至</t>
    </r>
    <r>
      <rPr>
        <sz val="14"/>
        <rFont val="Times New Roman"/>
        <family val="1"/>
      </rPr>
      <t>4</t>
    </r>
    <r>
      <rPr>
        <sz val="14"/>
        <rFont val="標楷體"/>
        <family val="4"/>
        <charset val="136"/>
      </rPr>
      <t>月底執行數</t>
    </r>
    <r>
      <rPr>
        <sz val="14"/>
        <rFont val="Times New Roman"/>
        <family val="1"/>
      </rPr>
      <t>31</t>
    </r>
    <r>
      <rPr>
        <sz val="14"/>
        <rFont val="標楷體"/>
        <family val="4"/>
        <charset val="136"/>
      </rPr>
      <t>千元，預估尚須執行</t>
    </r>
    <r>
      <rPr>
        <sz val="14"/>
        <rFont val="Times New Roman"/>
        <family val="1"/>
      </rPr>
      <t>161</t>
    </r>
    <r>
      <rPr>
        <sz val="14"/>
        <rFont val="標楷體"/>
        <family val="4"/>
        <charset val="136"/>
      </rPr>
      <t>千元，全年共需</t>
    </r>
    <r>
      <rPr>
        <sz val="14"/>
        <rFont val="Times New Roman"/>
        <family val="1"/>
      </rPr>
      <t>192</t>
    </r>
    <r>
      <rPr>
        <sz val="14"/>
        <rFont val="標楷體"/>
        <family val="4"/>
        <charset val="136"/>
      </rPr>
      <t>千元。</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</si>
  <si>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專業服務費」編列</t>
    </r>
    <r>
      <rPr>
        <sz val="14"/>
        <rFont val="Times New Roman"/>
        <family val="1"/>
      </rPr>
      <t>140</t>
    </r>
    <r>
      <rPr>
        <sz val="14"/>
        <rFont val="標楷體"/>
        <family val="4"/>
        <charset val="136"/>
      </rPr>
      <t>萬元，較</t>
    </r>
    <r>
      <rPr>
        <sz val="14"/>
        <rFont val="Times New Roman"/>
        <family val="1"/>
      </rPr>
      <t>113</t>
    </r>
    <r>
      <rPr>
        <sz val="14"/>
        <rFont val="標楷體"/>
        <family val="4"/>
        <charset val="136"/>
      </rPr>
      <t>年度增加</t>
    </r>
    <r>
      <rPr>
        <sz val="14"/>
        <rFont val="Times New Roman"/>
        <family val="1"/>
      </rPr>
      <t>35</t>
    </r>
    <r>
      <rPr>
        <sz val="14"/>
        <rFont val="標楷體"/>
        <family val="4"/>
        <charset val="136"/>
      </rPr>
      <t>萬元卻未說明增列原因等，爰刪減</t>
    </r>
    <r>
      <rPr>
        <sz val="14"/>
        <rFont val="Times New Roman"/>
        <family val="1"/>
      </rPr>
      <t>100</t>
    </r>
    <r>
      <rPr>
        <sz val="14"/>
        <rFont val="標楷體"/>
        <family val="4"/>
        <charset val="136"/>
      </rPr>
      <t>萬元。</t>
    </r>
    <phoneticPr fontId="32" type="noConversion"/>
  </si>
  <si>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二、本年截至</t>
    </r>
    <r>
      <rPr>
        <sz val="14"/>
        <rFont val="Times New Roman"/>
        <family val="1"/>
      </rPr>
      <t>4</t>
    </r>
    <r>
      <rPr>
        <sz val="14"/>
        <rFont val="標楷體"/>
        <family val="4"/>
        <charset val="136"/>
      </rPr>
      <t>月底執行數</t>
    </r>
    <r>
      <rPr>
        <sz val="14"/>
        <rFont val="Times New Roman"/>
        <family val="1"/>
      </rPr>
      <t>555</t>
    </r>
    <r>
      <rPr>
        <sz val="14"/>
        <rFont val="標楷體"/>
        <family val="4"/>
        <charset val="136"/>
      </rPr>
      <t>千元，預估尚須執行</t>
    </r>
    <r>
      <rPr>
        <sz val="14"/>
        <rFont val="Times New Roman"/>
        <family val="1"/>
      </rPr>
      <t>845</t>
    </r>
    <r>
      <rPr>
        <sz val="14"/>
        <rFont val="標楷體"/>
        <family val="4"/>
        <charset val="136"/>
      </rPr>
      <t>千元，全年共需</t>
    </r>
    <r>
      <rPr>
        <sz val="14"/>
        <rFont val="Times New Roman"/>
        <family val="1"/>
      </rPr>
      <t>1,400</t>
    </r>
    <r>
      <rPr>
        <sz val="14"/>
        <rFont val="標楷體"/>
        <family val="4"/>
        <charset val="136"/>
      </rPr>
      <t>千元。</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</si>
  <si>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捐助、補助與獎助」編列</t>
    </r>
    <r>
      <rPr>
        <sz val="14"/>
        <rFont val="Times New Roman"/>
        <family val="1"/>
      </rPr>
      <t>7,727</t>
    </r>
    <r>
      <rPr>
        <sz val="14"/>
        <rFont val="標楷體"/>
        <family val="4"/>
        <charset val="136"/>
      </rPr>
      <t>萬</t>
    </r>
    <r>
      <rPr>
        <sz val="14"/>
        <rFont val="Times New Roman"/>
        <family val="1"/>
      </rPr>
      <t>9</t>
    </r>
    <r>
      <rPr>
        <sz val="14"/>
        <rFont val="標楷體"/>
        <family val="4"/>
        <charset val="136"/>
      </rPr>
      <t>千元，自</t>
    </r>
    <r>
      <rPr>
        <sz val="14"/>
        <rFont val="Times New Roman"/>
        <family val="1"/>
      </rPr>
      <t>108</t>
    </r>
    <r>
      <rPr>
        <sz val="14"/>
        <rFont val="標楷體"/>
        <family val="4"/>
        <charset val="136"/>
      </rPr>
      <t>年度起迄今有線廣播電視系統訂戶數仍未見回升，而今年補助金額增加</t>
    </r>
    <r>
      <rPr>
        <sz val="14"/>
        <rFont val="Times New Roman"/>
        <family val="1"/>
      </rPr>
      <t>1,879</t>
    </r>
    <r>
      <rPr>
        <sz val="14"/>
        <rFont val="標楷體"/>
        <family val="4"/>
        <charset val="136"/>
      </rPr>
      <t>千元，實際效益上卻顯有疑慮，爰刪減</t>
    </r>
    <r>
      <rPr>
        <sz val="14"/>
        <rFont val="Times New Roman"/>
        <family val="1"/>
      </rPr>
      <t>1,879</t>
    </r>
    <r>
      <rPr>
        <sz val="14"/>
        <rFont val="標楷體"/>
        <family val="4"/>
        <charset val="136"/>
      </rPr>
      <t>千元。</t>
    </r>
    <phoneticPr fontId="32" type="noConversion"/>
  </si>
  <si>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二、有關</t>
    </r>
    <r>
      <rPr>
        <sz val="14"/>
        <rFont val="Times New Roman"/>
        <family val="1"/>
      </rPr>
      <t>114</t>
    </r>
    <r>
      <rPr>
        <sz val="14"/>
        <rFont val="標楷體"/>
        <family val="4"/>
        <charset val="136"/>
      </rPr>
      <t>年度「有線電視普及發展與災害復建補助計畫」項下之捐助、補助與獎助編列預算</t>
    </r>
    <r>
      <rPr>
        <sz val="14"/>
        <rFont val="Times New Roman"/>
        <family val="1"/>
      </rPr>
      <t>7,727</t>
    </r>
    <r>
      <rPr>
        <sz val="14"/>
        <rFont val="標楷體"/>
        <family val="4"/>
        <charset val="136"/>
      </rPr>
      <t>萬</t>
    </r>
    <r>
      <rPr>
        <sz val="14"/>
        <rFont val="Times New Roman"/>
        <family val="1"/>
      </rPr>
      <t>9</t>
    </r>
    <r>
      <rPr>
        <sz val="14"/>
        <rFont val="標楷體"/>
        <family val="4"/>
        <charset val="136"/>
      </rPr>
      <t>千元，包括普及發展建設</t>
    </r>
    <r>
      <rPr>
        <sz val="14"/>
        <rFont val="Times New Roman"/>
        <family val="1"/>
      </rPr>
      <t>1</t>
    </r>
    <r>
      <rPr>
        <sz val="14"/>
        <rFont val="標楷體"/>
        <family val="4"/>
        <charset val="136"/>
      </rPr>
      <t>件、</t>
    </r>
    <r>
      <rPr>
        <sz val="14"/>
        <rFont val="Times New Roman"/>
        <family val="1"/>
      </rPr>
      <t>Gbps</t>
    </r>
    <r>
      <rPr>
        <sz val="14"/>
        <rFont val="標楷體"/>
        <family val="4"/>
        <charset val="136"/>
      </rPr>
      <t>建置費</t>
    </r>
    <r>
      <rPr>
        <sz val="14"/>
        <rFont val="Times New Roman"/>
        <family val="1"/>
      </rPr>
      <t>3</t>
    </r>
    <r>
      <rPr>
        <sz val="14"/>
        <rFont val="標楷體"/>
        <family val="4"/>
        <charset val="136"/>
      </rPr>
      <t>件、超高畫質建置費</t>
    </r>
    <r>
      <rPr>
        <sz val="14"/>
        <rFont val="Times New Roman"/>
        <family val="1"/>
      </rPr>
      <t>42</t>
    </r>
    <r>
      <rPr>
        <sz val="14"/>
        <rFont val="標楷體"/>
        <family val="4"/>
        <charset val="136"/>
      </rPr>
      <t>件、製播地方文化節目</t>
    </r>
    <r>
      <rPr>
        <sz val="14"/>
        <rFont val="Times New Roman"/>
        <family val="1"/>
      </rPr>
      <t>28</t>
    </r>
    <r>
      <rPr>
        <sz val="14"/>
        <rFont val="標楷體"/>
        <family val="4"/>
        <charset val="136"/>
      </rPr>
      <t>件、普及服務淨成本</t>
    </r>
    <r>
      <rPr>
        <sz val="14"/>
        <rFont val="Times New Roman"/>
        <family val="1"/>
      </rPr>
      <t>2</t>
    </r>
    <r>
      <rPr>
        <sz val="14"/>
        <rFont val="標楷體"/>
        <family val="4"/>
        <charset val="136"/>
      </rPr>
      <t>件。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77,279</t>
    </r>
    <r>
      <rPr>
        <sz val="14"/>
        <rFont val="標楷體"/>
        <family val="4"/>
        <charset val="136"/>
      </rPr>
      <t>千元，全年共需</t>
    </r>
    <r>
      <rPr>
        <sz val="14"/>
        <rFont val="Times New Roman"/>
        <family val="1"/>
      </rPr>
      <t>77,279</t>
    </r>
    <r>
      <rPr>
        <sz val="14"/>
        <rFont val="標楷體"/>
        <family val="4"/>
        <charset val="136"/>
      </rPr>
      <t>千元。</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</si>
  <si>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捐助、補助與獎助」編列</t>
    </r>
    <r>
      <rPr>
        <sz val="14"/>
        <rFont val="Times New Roman"/>
        <family val="1"/>
      </rPr>
      <t>7,727</t>
    </r>
    <r>
      <rPr>
        <sz val="14"/>
        <rFont val="標楷體"/>
        <family val="4"/>
        <charset val="136"/>
      </rPr>
      <t>萬</t>
    </r>
    <r>
      <rPr>
        <sz val="14"/>
        <rFont val="Times New Roman"/>
        <family val="1"/>
      </rPr>
      <t>9</t>
    </r>
    <r>
      <rPr>
        <sz val="14"/>
        <rFont val="標楷體"/>
        <family val="4"/>
        <charset val="136"/>
      </rPr>
      <t>千元，較</t>
    </r>
    <r>
      <rPr>
        <sz val="14"/>
        <rFont val="Times New Roman"/>
        <family val="1"/>
      </rPr>
      <t>113</t>
    </r>
    <r>
      <rPr>
        <sz val="14"/>
        <rFont val="標楷體"/>
        <family val="4"/>
        <charset val="136"/>
      </rPr>
      <t>年同項計畫增加</t>
    </r>
    <r>
      <rPr>
        <sz val="14"/>
        <rFont val="Times New Roman"/>
        <family val="1"/>
      </rPr>
      <t>187</t>
    </r>
    <r>
      <rPr>
        <sz val="14"/>
        <rFont val="標楷體"/>
        <family val="4"/>
        <charset val="136"/>
      </rPr>
      <t>萬</t>
    </r>
    <r>
      <rPr>
        <sz val="14"/>
        <rFont val="Times New Roman"/>
        <family val="1"/>
      </rPr>
      <t>9</t>
    </r>
    <r>
      <rPr>
        <sz val="14"/>
        <rFont val="標楷體"/>
        <family val="4"/>
        <charset val="136"/>
      </rPr>
      <t>千元，卻未詳細說明預期補助之計畫或項目數量等，爰刪減</t>
    </r>
    <r>
      <rPr>
        <sz val="14"/>
        <rFont val="Times New Roman"/>
        <family val="1"/>
      </rPr>
      <t>300</t>
    </r>
    <r>
      <rPr>
        <sz val="14"/>
        <rFont val="標楷體"/>
        <family val="4"/>
        <charset val="136"/>
      </rPr>
      <t>萬元並凍結</t>
    </r>
    <r>
      <rPr>
        <sz val="14"/>
        <rFont val="Times New Roman"/>
        <family val="1"/>
      </rPr>
      <t>30</t>
    </r>
    <r>
      <rPr>
        <sz val="14"/>
        <rFont val="標楷體"/>
        <family val="4"/>
        <charset val="136"/>
      </rPr>
      <t>％，俟提出專案報告經同意後，使得動支。</t>
    </r>
  </si>
  <si>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77,279</t>
    </r>
    <r>
      <rPr>
        <sz val="14"/>
        <rFont val="標楷體"/>
        <family val="4"/>
        <charset val="136"/>
      </rPr>
      <t>千元，全年共需</t>
    </r>
    <r>
      <rPr>
        <sz val="14"/>
        <rFont val="Times New Roman"/>
        <family val="1"/>
      </rPr>
      <t>77,279</t>
    </r>
    <r>
      <rPr>
        <sz val="14"/>
        <rFont val="標楷體"/>
        <family val="4"/>
        <charset val="136"/>
      </rPr>
      <t>千元。</t>
    </r>
    <phoneticPr fontId="32" type="noConversion"/>
  </si>
  <si>
    <r>
      <rPr>
        <sz val="14"/>
        <rFont val="標楷體"/>
        <family val="4"/>
        <charset val="136"/>
      </rPr>
      <t>陳雪生</t>
    </r>
    <r>
      <rPr>
        <sz val="14"/>
        <rFont val="Times New Roman"/>
        <family val="1"/>
      </rPr>
      <t>(</t>
    </r>
    <r>
      <rPr>
        <sz val="14"/>
        <rFont val="標楷體"/>
        <family val="4"/>
        <charset val="136"/>
      </rPr>
      <t>翁曉玲</t>
    </r>
    <r>
      <rPr>
        <sz val="14"/>
        <rFont val="Times New Roman"/>
        <family val="1"/>
      </rPr>
      <t>)</t>
    </r>
  </si>
  <si>
    <r>
      <rPr>
        <sz val="14"/>
        <rFont val="標楷體"/>
        <family val="4"/>
        <charset val="136"/>
      </rPr>
      <t>「有線電視普及發展與災害復建補助計畫</t>
    </r>
    <r>
      <rPr>
        <sz val="14"/>
        <rFont val="Times New Roman"/>
        <family val="1"/>
      </rPr>
      <t>-</t>
    </r>
    <r>
      <rPr>
        <sz val="14"/>
        <rFont val="標楷體"/>
        <family val="4"/>
        <charset val="136"/>
      </rPr>
      <t>捐助、補助與獎助」編列</t>
    </r>
    <r>
      <rPr>
        <sz val="14"/>
        <rFont val="Times New Roman"/>
        <family val="1"/>
      </rPr>
      <t>7,727</t>
    </r>
    <r>
      <rPr>
        <sz val="14"/>
        <rFont val="標楷體"/>
        <family val="4"/>
        <charset val="136"/>
      </rPr>
      <t>萬</t>
    </r>
    <r>
      <rPr>
        <sz val="14"/>
        <rFont val="Times New Roman"/>
        <family val="1"/>
      </rPr>
      <t>9</t>
    </r>
    <r>
      <rPr>
        <sz val="14"/>
        <rFont val="標楷體"/>
        <family val="4"/>
        <charset val="136"/>
      </rPr>
      <t>千元，隨網路服務普及等，傳統有線電視系統收視逐漸流失，應允檢討補助計畫，爰刪減</t>
    </r>
    <r>
      <rPr>
        <sz val="14"/>
        <rFont val="Times New Roman"/>
        <family val="1"/>
      </rPr>
      <t>300</t>
    </r>
    <r>
      <rPr>
        <sz val="14"/>
        <rFont val="標楷體"/>
        <family val="4"/>
        <charset val="136"/>
      </rPr>
      <t>萬元並凍結</t>
    </r>
    <r>
      <rPr>
        <sz val="14"/>
        <rFont val="Times New Roman"/>
        <family val="1"/>
      </rPr>
      <t>50</t>
    </r>
    <r>
      <rPr>
        <sz val="14"/>
        <rFont val="標楷體"/>
        <family val="4"/>
        <charset val="136"/>
      </rPr>
      <t>％，於</t>
    </r>
    <r>
      <rPr>
        <sz val="14"/>
        <rFont val="Times New Roman"/>
        <family val="1"/>
      </rPr>
      <t>3</t>
    </r>
    <r>
      <rPr>
        <sz val="14"/>
        <rFont val="標楷體"/>
        <family val="4"/>
        <charset val="136"/>
      </rPr>
      <t>個月內提出書面報告後，使得動支。</t>
    </r>
  </si>
  <si>
    <r>
      <rPr>
        <sz val="14"/>
        <rFont val="標楷體"/>
        <family val="4"/>
        <charset val="136"/>
      </rPr>
      <t>「有線電視普及發展與災害復建補助計畫</t>
    </r>
    <r>
      <rPr>
        <sz val="14"/>
        <rFont val="Times New Roman"/>
        <family val="1"/>
      </rPr>
      <t>-</t>
    </r>
    <r>
      <rPr>
        <sz val="14"/>
        <rFont val="標楷體"/>
        <family val="4"/>
        <charset val="136"/>
      </rPr>
      <t>捐助、補助與獎助」編列</t>
    </r>
    <r>
      <rPr>
        <sz val="14"/>
        <rFont val="Times New Roman"/>
        <family val="1"/>
      </rPr>
      <t>7,727</t>
    </r>
    <r>
      <rPr>
        <sz val="14"/>
        <rFont val="標楷體"/>
        <family val="4"/>
        <charset val="136"/>
      </rPr>
      <t>萬</t>
    </r>
    <r>
      <rPr>
        <sz val="14"/>
        <rFont val="Times New Roman"/>
        <family val="1"/>
      </rPr>
      <t>9</t>
    </r>
    <r>
      <rPr>
        <sz val="14"/>
        <rFont val="標楷體"/>
        <family val="4"/>
        <charset val="136"/>
      </rPr>
      <t>千元，隨網路服務等，傳統有線電視系統收視逐漸流失，卻未提出相關改善方案，爰凍結</t>
    </r>
    <r>
      <rPr>
        <sz val="14"/>
        <rFont val="Times New Roman"/>
        <family val="1"/>
      </rPr>
      <t>1,500</t>
    </r>
    <r>
      <rPr>
        <sz val="14"/>
        <rFont val="標楷體"/>
        <family val="4"/>
        <charset val="136"/>
      </rPr>
      <t>萬元，俟提出書面報告後，使得動支。</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</si>
  <si>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捐助、補助與獎助</t>
    </r>
    <r>
      <rPr>
        <sz val="14"/>
        <rFont val="Times New Roman"/>
        <family val="1"/>
      </rPr>
      <t>-</t>
    </r>
    <r>
      <rPr>
        <sz val="14"/>
        <rFont val="標楷體"/>
        <family val="4"/>
        <charset val="136"/>
      </rPr>
      <t>超高畫質與數位應用加值服務建置費」編列</t>
    </r>
    <r>
      <rPr>
        <sz val="14"/>
        <rFont val="Times New Roman"/>
        <family val="1"/>
      </rPr>
      <t>4,778</t>
    </r>
    <r>
      <rPr>
        <sz val="14"/>
        <rFont val="標楷體"/>
        <family val="4"/>
        <charset val="136"/>
      </rPr>
      <t>萬</t>
    </r>
    <r>
      <rPr>
        <sz val="14"/>
        <rFont val="Times New Roman"/>
        <family val="1"/>
      </rPr>
      <t>9</t>
    </r>
    <r>
      <rPr>
        <sz val="14"/>
        <rFont val="標楷體"/>
        <family val="4"/>
        <charset val="136"/>
      </rPr>
      <t>千元，自</t>
    </r>
    <r>
      <rPr>
        <sz val="14"/>
        <rFont val="Times New Roman"/>
        <family val="1"/>
      </rPr>
      <t>108</t>
    </r>
    <r>
      <rPr>
        <sz val="14"/>
        <rFont val="標楷體"/>
        <family val="4"/>
        <charset val="136"/>
      </rPr>
      <t>年至</t>
    </r>
    <r>
      <rPr>
        <sz val="14"/>
        <rFont val="Times New Roman"/>
        <family val="1"/>
      </rPr>
      <t>113</t>
    </r>
    <r>
      <rPr>
        <sz val="14"/>
        <rFont val="標楷體"/>
        <family val="4"/>
        <charset val="136"/>
      </rPr>
      <t>年</t>
    </r>
    <r>
      <rPr>
        <sz val="14"/>
        <rFont val="Times New Roman"/>
        <family val="1"/>
      </rPr>
      <t>7</t>
    </r>
    <r>
      <rPr>
        <sz val="14"/>
        <rFont val="標楷體"/>
        <family val="4"/>
        <charset val="136"/>
      </rPr>
      <t>月底共投入</t>
    </r>
    <r>
      <rPr>
        <sz val="14"/>
        <rFont val="Times New Roman"/>
        <family val="1"/>
      </rPr>
      <t>3.04</t>
    </r>
    <r>
      <rPr>
        <sz val="14"/>
        <rFont val="標楷體"/>
        <family val="4"/>
        <charset val="136"/>
      </rPr>
      <t>億元，惟訂戶數未見回升，爰凍結</t>
    </r>
    <r>
      <rPr>
        <sz val="14"/>
        <rFont val="Times New Roman"/>
        <family val="1"/>
      </rPr>
      <t>20</t>
    </r>
    <r>
      <rPr>
        <sz val="14"/>
        <rFont val="標楷體"/>
        <family val="4"/>
        <charset val="136"/>
      </rPr>
      <t>％，俟提出專案報告經同意後，使得動支。</t>
    </r>
  </si>
  <si>
    <r>
      <rPr>
        <b/>
        <sz val="14"/>
        <rFont val="標楷體"/>
        <family val="4"/>
        <charset val="136"/>
      </rPr>
      <t>一、建請第</t>
    </r>
    <r>
      <rPr>
        <b/>
        <sz val="14"/>
        <rFont val="Times New Roman"/>
        <family val="1"/>
      </rPr>
      <t>3</t>
    </r>
    <r>
      <rPr>
        <b/>
        <sz val="14"/>
        <rFont val="標楷體"/>
        <family val="4"/>
        <charset val="136"/>
      </rPr>
      <t>、</t>
    </r>
    <r>
      <rPr>
        <b/>
        <sz val="14"/>
        <rFont val="Times New Roman"/>
        <family val="1"/>
      </rPr>
      <t>4</t>
    </r>
    <r>
      <rPr>
        <b/>
        <sz val="14"/>
        <rFont val="標楷體"/>
        <family val="4"/>
        <charset val="136"/>
      </rPr>
      <t>及</t>
    </r>
    <r>
      <rPr>
        <b/>
        <sz val="14"/>
        <rFont val="Times New Roman"/>
        <family val="1"/>
      </rPr>
      <t>7</t>
    </r>
    <r>
      <rPr>
        <b/>
        <sz val="14"/>
        <rFont val="標楷體"/>
        <family val="4"/>
        <charset val="136"/>
      </rPr>
      <t>至</t>
    </r>
    <r>
      <rPr>
        <b/>
        <sz val="14"/>
        <rFont val="Times New Roman"/>
        <family val="1"/>
      </rPr>
      <t>13</t>
    </r>
    <r>
      <rPr>
        <b/>
        <sz val="14"/>
        <rFont val="標楷體"/>
        <family val="4"/>
        <charset val="136"/>
      </rPr>
      <t>案併案處理，免予減列，並修正提案文字為「凍結</t>
    </r>
    <r>
      <rPr>
        <b/>
        <sz val="14"/>
        <rFont val="Times New Roman"/>
        <family val="1"/>
      </rPr>
      <t>10</t>
    </r>
    <r>
      <rPr>
        <b/>
        <sz val="14"/>
        <rFont val="標楷體"/>
        <family val="4"/>
        <charset val="136"/>
      </rPr>
      <t>％，待通傳會提出書面報告後始得動支」。</t>
    </r>
    <r>
      <rPr>
        <sz val="14"/>
        <rFont val="Times New Roman"/>
        <family val="1"/>
      </rPr>
      <t xml:space="preserve">
</t>
    </r>
    <r>
      <rPr>
        <sz val="14"/>
        <rFont val="標楷體"/>
        <family val="4"/>
        <charset val="136"/>
      </rPr>
      <t>二、本年截至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47,789</t>
    </r>
    <r>
      <rPr>
        <sz val="14"/>
        <rFont val="標楷體"/>
        <family val="4"/>
        <charset val="136"/>
      </rPr>
      <t>千元，全年共需</t>
    </r>
    <r>
      <rPr>
        <sz val="14"/>
        <rFont val="Times New Roman"/>
        <family val="1"/>
      </rPr>
      <t>47,789</t>
    </r>
    <r>
      <rPr>
        <sz val="14"/>
        <rFont val="標楷體"/>
        <family val="4"/>
        <charset val="136"/>
      </rPr>
      <t>千元。</t>
    </r>
    <phoneticPr fontId="32" type="noConversion"/>
  </si>
  <si>
    <r>
      <rPr>
        <sz val="14"/>
        <rFont val="標楷體"/>
        <family val="4"/>
        <charset val="136"/>
      </rPr>
      <t>「有線廣播電視現況調查及服務品質提升計畫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專業服務費」編列</t>
    </r>
    <r>
      <rPr>
        <sz val="14"/>
        <rFont val="Times New Roman"/>
        <family val="1"/>
      </rPr>
      <t>100</t>
    </r>
    <r>
      <rPr>
        <sz val="14"/>
        <rFont val="標楷體"/>
        <family val="4"/>
        <charset val="136"/>
      </rPr>
      <t>萬元，調查後之資料無任何說明顯示有進行後續管考及向系統經營業者提出任何建議，爰全數刪減。</t>
    </r>
    <phoneticPr fontId="32" type="noConversion"/>
  </si>
  <si>
    <r>
      <rPr>
        <b/>
        <sz val="14"/>
        <rFont val="標楷體"/>
        <family val="4"/>
        <charset val="136"/>
      </rPr>
      <t>一、建請修正提案文字為「</t>
    </r>
    <r>
      <rPr>
        <b/>
        <sz val="14"/>
        <rFont val="Times New Roman"/>
        <family val="1"/>
      </rPr>
      <t>…</t>
    </r>
    <r>
      <rPr>
        <b/>
        <sz val="14"/>
        <rFont val="標楷體"/>
        <family val="4"/>
        <charset val="136"/>
      </rPr>
      <t>例行性業務，爰提案凍結『專業服務費』</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為掌握有線廣播電視系統經營者營運狀況，通傳會透過資料庫查閱系統經營者之財務概況，並編製各項營運報告及財務資料報表，作為該會監理有線廣播電視事業之依據及審核收視費用之重要參考；同時該會亦針對業者之財務體質提出改善建議，並列為持續追蹤項目。
三、本年截至</t>
    </r>
    <r>
      <rPr>
        <sz val="14"/>
        <rFont val="Times New Roman"/>
        <family val="1"/>
      </rPr>
      <t>4</t>
    </r>
    <r>
      <rPr>
        <sz val="14"/>
        <rFont val="標楷體"/>
        <family val="4"/>
        <charset val="136"/>
      </rPr>
      <t>月底執行數</t>
    </r>
    <r>
      <rPr>
        <sz val="14"/>
        <rFont val="Times New Roman"/>
        <family val="1"/>
      </rPr>
      <t>95</t>
    </r>
    <r>
      <rPr>
        <sz val="14"/>
        <rFont val="標楷體"/>
        <family val="4"/>
        <charset val="136"/>
      </rPr>
      <t>千元，預估尚須執行</t>
    </r>
    <r>
      <rPr>
        <sz val="14"/>
        <rFont val="Times New Roman"/>
        <family val="1"/>
      </rPr>
      <t>721</t>
    </r>
    <r>
      <rPr>
        <sz val="14"/>
        <rFont val="標楷體"/>
        <family val="4"/>
        <charset val="136"/>
      </rPr>
      <t>千元，全年共需</t>
    </r>
    <r>
      <rPr>
        <sz val="14"/>
        <rFont val="Times New Roman"/>
        <family val="1"/>
      </rPr>
      <t>816</t>
    </r>
    <r>
      <rPr>
        <sz val="14"/>
        <rFont val="標楷體"/>
        <family val="4"/>
        <charset val="136"/>
      </rPr>
      <t>千元。</t>
    </r>
    <phoneticPr fontId="32" type="noConversion"/>
  </si>
  <si>
    <r>
      <rPr>
        <sz val="14"/>
        <rFont val="標楷體"/>
        <family val="4"/>
        <charset val="136"/>
      </rPr>
      <t>「一般行政管理計畫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旅運費」編列</t>
    </r>
    <r>
      <rPr>
        <sz val="14"/>
        <rFont val="Times New Roman"/>
        <family val="1"/>
      </rPr>
      <t>10</t>
    </r>
    <r>
      <rPr>
        <sz val="14"/>
        <rFont val="標楷體"/>
        <family val="4"/>
        <charset val="136"/>
      </rPr>
      <t>萬</t>
    </r>
    <r>
      <rPr>
        <sz val="14"/>
        <rFont val="Times New Roman"/>
        <family val="1"/>
      </rPr>
      <t>4</t>
    </r>
    <r>
      <rPr>
        <sz val="14"/>
        <rFont val="標楷體"/>
        <family val="4"/>
        <charset val="136"/>
      </rPr>
      <t>千元，查預算書說明欄對於旅運費之詳細支出比例並未有說明，包裹式概括臚列，實難預測本項旅運費預算之執行目的，爰全數刪除。</t>
    </r>
    <phoneticPr fontId="32" type="noConversion"/>
  </si>
  <si>
    <r>
      <rPr>
        <b/>
        <sz val="14"/>
        <rFont val="標楷體"/>
        <family val="4"/>
        <charset val="136"/>
      </rPr>
      <t>一、建請修正提案文字為「</t>
    </r>
    <r>
      <rPr>
        <b/>
        <sz val="14"/>
        <rFont val="Times New Roman"/>
        <family val="1"/>
      </rPr>
      <t>…</t>
    </r>
    <r>
      <rPr>
        <b/>
        <sz val="14"/>
        <rFont val="標楷體"/>
        <family val="4"/>
        <charset val="136"/>
      </rPr>
      <t>爰此，提案凍結『服務費用</t>
    </r>
    <r>
      <rPr>
        <b/>
        <sz val="14"/>
        <rFont val="Times New Roman"/>
        <family val="1"/>
      </rPr>
      <t>-</t>
    </r>
    <r>
      <rPr>
        <b/>
        <sz val="14"/>
        <rFont val="標楷體"/>
        <family val="4"/>
        <charset val="136"/>
      </rPr>
      <t>旅運費』</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二、該旅運費用包含基金管理委員會之委員出席費用</t>
    </r>
    <r>
      <rPr>
        <sz val="14"/>
        <rFont val="Times New Roman"/>
        <family val="1"/>
      </rPr>
      <t>4,000</t>
    </r>
    <r>
      <rPr>
        <sz val="14"/>
        <rFont val="標楷體"/>
        <family val="4"/>
        <charset val="136"/>
      </rPr>
      <t>元及有線廣播電視產業研討會編列之</t>
    </r>
    <r>
      <rPr>
        <sz val="14"/>
        <rFont val="Times New Roman"/>
        <family val="1"/>
      </rPr>
      <t>10</t>
    </r>
    <r>
      <rPr>
        <sz val="14"/>
        <rFont val="標楷體"/>
        <family val="4"/>
        <charset val="136"/>
      </rPr>
      <t>萬元，而後者系為支應研討會專題講座及該會委員與相關業管單位同仁之交通費用及差旅費</t>
    </r>
    <r>
      <rPr>
        <sz val="14"/>
        <rFont val="Times New Roman"/>
        <family val="1"/>
      </rPr>
      <t>(</t>
    </r>
    <r>
      <rPr>
        <sz val="14"/>
        <rFont val="標楷體"/>
        <family val="4"/>
        <charset val="136"/>
      </rPr>
      <t>含系統業者及地方政府共</t>
    </r>
    <r>
      <rPr>
        <sz val="14"/>
        <rFont val="Times New Roman"/>
        <family val="1"/>
      </rPr>
      <t>2</t>
    </r>
    <r>
      <rPr>
        <sz val="14"/>
        <rFont val="標楷體"/>
        <family val="4"/>
        <charset val="136"/>
      </rPr>
      <t>場次</t>
    </r>
    <r>
      <rPr>
        <sz val="14"/>
        <rFont val="Times New Roman"/>
        <family val="1"/>
      </rPr>
      <t>)</t>
    </r>
    <r>
      <rPr>
        <sz val="14"/>
        <rFont val="標楷體"/>
        <family val="4"/>
        <charset val="136"/>
      </rPr>
      <t>。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104</t>
    </r>
    <r>
      <rPr>
        <sz val="14"/>
        <rFont val="標楷體"/>
        <family val="4"/>
        <charset val="136"/>
      </rPr>
      <t>千元，全年共需</t>
    </r>
    <r>
      <rPr>
        <sz val="14"/>
        <rFont val="Times New Roman"/>
        <family val="1"/>
      </rPr>
      <t>104</t>
    </r>
    <r>
      <rPr>
        <sz val="14"/>
        <rFont val="標楷體"/>
        <family val="4"/>
        <charset val="136"/>
      </rPr>
      <t>千元。</t>
    </r>
    <phoneticPr fontId="32" type="noConversion"/>
  </si>
  <si>
    <r>
      <rPr>
        <sz val="14"/>
        <rFont val="標楷體"/>
        <family val="4"/>
        <charset val="136"/>
      </rPr>
      <t>「一般行政管理計畫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專業服務費」編列</t>
    </r>
    <r>
      <rPr>
        <sz val="14"/>
        <rFont val="Times New Roman"/>
        <family val="1"/>
      </rPr>
      <t>130</t>
    </r>
    <r>
      <rPr>
        <sz val="14"/>
        <rFont val="標楷體"/>
        <family val="4"/>
        <charset val="136"/>
      </rPr>
      <t>萬</t>
    </r>
    <r>
      <rPr>
        <sz val="14"/>
        <rFont val="Times New Roman"/>
        <family val="1"/>
      </rPr>
      <t>1</t>
    </r>
    <r>
      <rPr>
        <sz val="14"/>
        <rFont val="標楷體"/>
        <family val="4"/>
        <charset val="136"/>
      </rPr>
      <t>千元，有線電視的普及度已連續</t>
    </r>
    <r>
      <rPr>
        <sz val="14"/>
        <rFont val="Times New Roman"/>
        <family val="1"/>
      </rPr>
      <t>25</t>
    </r>
    <r>
      <rPr>
        <sz val="14"/>
        <rFont val="標楷體"/>
        <family val="4"/>
        <charset val="136"/>
      </rPr>
      <t>年下滑，在此趨勢下，繼續投入大量資源於有線廣播電視產業研討會，成效不彰，應重新評估該產業未來發展的必要性，爰減列</t>
    </r>
    <r>
      <rPr>
        <sz val="14"/>
        <rFont val="Times New Roman"/>
        <family val="1"/>
      </rPr>
      <t>1,000</t>
    </r>
    <r>
      <rPr>
        <sz val="14"/>
        <rFont val="標楷體"/>
        <family val="4"/>
        <charset val="136"/>
      </rPr>
      <t>千元。</t>
    </r>
    <phoneticPr fontId="32" type="noConversion"/>
  </si>
  <si>
    <r>
      <rPr>
        <b/>
        <sz val="14"/>
        <rFont val="標楷體"/>
        <family val="4"/>
        <charset val="136"/>
      </rPr>
      <t>一、建請第</t>
    </r>
    <r>
      <rPr>
        <b/>
        <sz val="14"/>
        <rFont val="Times New Roman"/>
        <family val="1"/>
      </rPr>
      <t>16</t>
    </r>
    <r>
      <rPr>
        <b/>
        <sz val="14"/>
        <rFont val="標楷體"/>
        <family val="4"/>
        <charset val="136"/>
      </rPr>
      <t>、</t>
    </r>
    <r>
      <rPr>
        <b/>
        <sz val="14"/>
        <rFont val="Times New Roman"/>
        <family val="1"/>
      </rPr>
      <t>17</t>
    </r>
    <r>
      <rPr>
        <b/>
        <sz val="14"/>
        <rFont val="標楷體"/>
        <family val="4"/>
        <charset val="136"/>
      </rPr>
      <t>案併案處理，免予減列，並修正提案文字為「</t>
    </r>
    <r>
      <rPr>
        <b/>
        <sz val="14"/>
        <rFont val="Times New Roman"/>
        <family val="1"/>
      </rPr>
      <t>…</t>
    </r>
    <r>
      <rPr>
        <b/>
        <sz val="14"/>
        <rFont val="標楷體"/>
        <family val="4"/>
        <charset val="136"/>
      </rPr>
      <t>避免資源浪費，為此，爰提案凍結『專業服務費』預算</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t>
    </r>
    <r>
      <rPr>
        <sz val="14"/>
        <rFont val="Times New Roman"/>
        <family val="1"/>
      </rPr>
      <t>114</t>
    </r>
    <r>
      <rPr>
        <sz val="14"/>
        <rFont val="標楷體"/>
        <family val="4"/>
        <charset val="136"/>
      </rPr>
      <t>年度計有</t>
    </r>
    <r>
      <rPr>
        <sz val="14"/>
        <rFont val="Times New Roman"/>
        <family val="1"/>
      </rPr>
      <t>4</t>
    </r>
    <r>
      <rPr>
        <sz val="14"/>
        <rFont val="標楷體"/>
        <family val="4"/>
        <charset val="136"/>
      </rPr>
      <t>位專家學者，每位專家學者須交互審查</t>
    </r>
    <r>
      <rPr>
        <sz val="14"/>
        <rFont val="Times New Roman"/>
        <family val="1"/>
      </rPr>
      <t>6</t>
    </r>
    <r>
      <rPr>
        <sz val="14"/>
        <rFont val="標楷體"/>
        <family val="4"/>
        <charset val="136"/>
      </rPr>
      <t>件，依中央政府各機關學校出席費及稿費支給要點核算審查每一地方政府支給</t>
    </r>
    <r>
      <rPr>
        <sz val="14"/>
        <rFont val="Times New Roman"/>
        <family val="1"/>
      </rPr>
      <t>8,000</t>
    </r>
    <r>
      <rPr>
        <sz val="14"/>
        <rFont val="標楷體"/>
        <family val="4"/>
        <charset val="136"/>
      </rPr>
      <t>元，共</t>
    </r>
    <r>
      <rPr>
        <sz val="14"/>
        <rFont val="Times New Roman"/>
        <family val="1"/>
      </rPr>
      <t>19</t>
    </r>
    <r>
      <rPr>
        <sz val="14"/>
        <rFont val="標楷體"/>
        <family val="4"/>
        <charset val="136"/>
      </rPr>
      <t>萬</t>
    </r>
    <r>
      <rPr>
        <sz val="14"/>
        <rFont val="Times New Roman"/>
        <family val="1"/>
      </rPr>
      <t>2</t>
    </r>
    <r>
      <rPr>
        <sz val="14"/>
        <rFont val="標楷體"/>
        <family val="4"/>
        <charset val="136"/>
      </rPr>
      <t>千元。而有線廣播電視發展研討會每年均舉行</t>
    </r>
    <r>
      <rPr>
        <sz val="14"/>
        <rFont val="Times New Roman"/>
        <family val="1"/>
      </rPr>
      <t>2</t>
    </r>
    <r>
      <rPr>
        <sz val="14"/>
        <rFont val="標楷體"/>
        <family val="4"/>
        <charset val="136"/>
      </rPr>
      <t>場次之研討活動。惟近年物價逐年上升，辦理研討會相關費用亦隨之增加，確實有增列預算金額之需求。
三、本年截至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1,301</t>
    </r>
    <r>
      <rPr>
        <sz val="14"/>
        <rFont val="標楷體"/>
        <family val="4"/>
        <charset val="136"/>
      </rPr>
      <t>千元，全年共需</t>
    </r>
    <r>
      <rPr>
        <sz val="14"/>
        <rFont val="Times New Roman"/>
        <family val="1"/>
      </rPr>
      <t>1,301</t>
    </r>
    <r>
      <rPr>
        <sz val="14"/>
        <rFont val="標楷體"/>
        <family val="4"/>
        <charset val="136"/>
      </rPr>
      <t>千元。</t>
    </r>
    <phoneticPr fontId="32" type="noConversion"/>
  </si>
  <si>
    <r>
      <rPr>
        <sz val="14"/>
        <rFont val="標楷體"/>
        <family val="4"/>
        <charset val="136"/>
      </rPr>
      <t>「一般行政管理計畫</t>
    </r>
    <r>
      <rPr>
        <sz val="14"/>
        <rFont val="Times New Roman"/>
        <family val="1"/>
      </rPr>
      <t>-</t>
    </r>
    <r>
      <rPr>
        <sz val="14"/>
        <rFont val="標楷體"/>
        <family val="4"/>
        <charset val="136"/>
      </rPr>
      <t>服務費用</t>
    </r>
    <r>
      <rPr>
        <sz val="14"/>
        <rFont val="Times New Roman"/>
        <family val="1"/>
      </rPr>
      <t>-</t>
    </r>
    <r>
      <rPr>
        <sz val="14"/>
        <rFont val="標楷體"/>
        <family val="4"/>
        <charset val="136"/>
      </rPr>
      <t>專業服務費」編列</t>
    </r>
    <r>
      <rPr>
        <sz val="14"/>
        <rFont val="Times New Roman"/>
        <family val="1"/>
      </rPr>
      <t>130</t>
    </r>
    <r>
      <rPr>
        <sz val="14"/>
        <rFont val="標楷體"/>
        <family val="4"/>
        <charset val="136"/>
      </rPr>
      <t>萬</t>
    </r>
    <r>
      <rPr>
        <sz val="14"/>
        <rFont val="Times New Roman"/>
        <family val="1"/>
      </rPr>
      <t>1</t>
    </r>
    <r>
      <rPr>
        <sz val="14"/>
        <rFont val="標楷體"/>
        <family val="4"/>
        <charset val="136"/>
      </rPr>
      <t>千元，較</t>
    </r>
    <r>
      <rPr>
        <sz val="14"/>
        <rFont val="Times New Roman"/>
        <family val="1"/>
      </rPr>
      <t>113</t>
    </r>
    <r>
      <rPr>
        <sz val="14"/>
        <rFont val="標楷體"/>
        <family val="4"/>
        <charset val="136"/>
      </rPr>
      <t>年度預算增加</t>
    </r>
    <r>
      <rPr>
        <sz val="14"/>
        <rFont val="Times New Roman"/>
        <family val="1"/>
      </rPr>
      <t>3</t>
    </r>
    <r>
      <rPr>
        <sz val="14"/>
        <rFont val="標楷體"/>
        <family val="4"/>
        <charset val="136"/>
      </rPr>
      <t>萬</t>
    </r>
    <r>
      <rPr>
        <sz val="14"/>
        <rFont val="Times New Roman"/>
        <family val="1"/>
      </rPr>
      <t>2</t>
    </r>
    <r>
      <rPr>
        <sz val="14"/>
        <rFont val="標楷體"/>
        <family val="4"/>
        <charset val="136"/>
      </rPr>
      <t>千元，惟無任何詳細計畫及說明，實難預見其預算執行妥當性，爰減列</t>
    </r>
    <r>
      <rPr>
        <sz val="14"/>
        <rFont val="Times New Roman"/>
        <family val="1"/>
      </rPr>
      <t>50</t>
    </r>
    <r>
      <rPr>
        <sz val="14"/>
        <rFont val="標楷體"/>
        <family val="4"/>
        <charset val="136"/>
      </rPr>
      <t>萬元並凍結</t>
    </r>
    <r>
      <rPr>
        <sz val="14"/>
        <rFont val="Times New Roman"/>
        <family val="1"/>
      </rPr>
      <t>50</t>
    </r>
    <r>
      <rPr>
        <sz val="14"/>
        <rFont val="標楷體"/>
        <family val="4"/>
        <charset val="136"/>
      </rPr>
      <t>％，俟提出書面報告經同意後，始得動支。</t>
    </r>
  </si>
  <si>
    <r>
      <rPr>
        <b/>
        <sz val="14"/>
        <rFont val="標楷體"/>
        <family val="4"/>
        <charset val="136"/>
      </rPr>
      <t>一、建請第</t>
    </r>
    <r>
      <rPr>
        <b/>
        <sz val="14"/>
        <rFont val="Times New Roman"/>
        <family val="1"/>
      </rPr>
      <t>16</t>
    </r>
    <r>
      <rPr>
        <b/>
        <sz val="14"/>
        <rFont val="標楷體"/>
        <family val="4"/>
        <charset val="136"/>
      </rPr>
      <t>、</t>
    </r>
    <r>
      <rPr>
        <b/>
        <sz val="14"/>
        <rFont val="Times New Roman"/>
        <family val="1"/>
      </rPr>
      <t>17</t>
    </r>
    <r>
      <rPr>
        <b/>
        <sz val="14"/>
        <rFont val="標楷體"/>
        <family val="4"/>
        <charset val="136"/>
      </rPr>
      <t>案併案處理，免予減列，並修正提案文字為「</t>
    </r>
    <r>
      <rPr>
        <b/>
        <sz val="14"/>
        <rFont val="Times New Roman"/>
        <family val="1"/>
      </rPr>
      <t>…</t>
    </r>
    <r>
      <rPr>
        <b/>
        <sz val="14"/>
        <rFont val="標楷體"/>
        <family val="4"/>
        <charset val="136"/>
      </rPr>
      <t>避免資源浪費，為此，爰提案凍結『專業服務費』預算</t>
    </r>
    <r>
      <rPr>
        <b/>
        <sz val="14"/>
        <rFont val="Times New Roman"/>
        <family val="1"/>
      </rPr>
      <t>10</t>
    </r>
    <r>
      <rPr>
        <b/>
        <sz val="14"/>
        <rFont val="標楷體"/>
        <family val="4"/>
        <charset val="136"/>
      </rPr>
      <t>％，俟通傳會提出書面報告後，始得動支」。</t>
    </r>
    <r>
      <rPr>
        <sz val="14"/>
        <rFont val="Times New Roman"/>
        <family val="1"/>
      </rPr>
      <t xml:space="preserve">
</t>
    </r>
    <r>
      <rPr>
        <sz val="14"/>
        <rFont val="標楷體"/>
        <family val="4"/>
        <charset val="136"/>
      </rPr>
      <t>二、本年截至</t>
    </r>
    <r>
      <rPr>
        <sz val="14"/>
        <rFont val="Times New Roman"/>
        <family val="1"/>
      </rPr>
      <t>4</t>
    </r>
    <r>
      <rPr>
        <sz val="14"/>
        <rFont val="標楷體"/>
        <family val="4"/>
        <charset val="136"/>
      </rPr>
      <t>月底執行數</t>
    </r>
    <r>
      <rPr>
        <sz val="14"/>
        <rFont val="Times New Roman"/>
        <family val="1"/>
      </rPr>
      <t>0</t>
    </r>
    <r>
      <rPr>
        <sz val="14"/>
        <rFont val="標楷體"/>
        <family val="4"/>
        <charset val="136"/>
      </rPr>
      <t>千元，預估尚須執行</t>
    </r>
    <r>
      <rPr>
        <sz val="14"/>
        <rFont val="Times New Roman"/>
        <family val="1"/>
      </rPr>
      <t>1,301</t>
    </r>
    <r>
      <rPr>
        <sz val="14"/>
        <rFont val="標楷體"/>
        <family val="4"/>
        <charset val="136"/>
      </rPr>
      <t>千元，全年共需</t>
    </r>
    <r>
      <rPr>
        <sz val="14"/>
        <rFont val="Times New Roman"/>
        <family val="1"/>
      </rPr>
      <t>1,301</t>
    </r>
    <r>
      <rPr>
        <sz val="14"/>
        <rFont val="標楷體"/>
        <family val="4"/>
        <charset val="136"/>
      </rPr>
      <t>千元。</t>
    </r>
    <phoneticPr fontId="32" type="noConversion"/>
  </si>
  <si>
    <r>
      <t>OTT TV</t>
    </r>
    <r>
      <rPr>
        <sz val="14"/>
        <rFont val="標楷體"/>
        <family val="4"/>
        <charset val="136"/>
      </rPr>
      <t>成長快速，導致有線電視產業用戶持續流失，從</t>
    </r>
    <r>
      <rPr>
        <sz val="14"/>
        <rFont val="Times New Roman"/>
        <family val="1"/>
      </rPr>
      <t>107</t>
    </r>
    <r>
      <rPr>
        <sz val="14"/>
        <rFont val="標楷體"/>
        <family val="4"/>
        <charset val="136"/>
      </rPr>
      <t>年底訂戶數</t>
    </r>
    <r>
      <rPr>
        <sz val="14"/>
        <rFont val="Times New Roman"/>
        <family val="1"/>
      </rPr>
      <t>507</t>
    </r>
    <r>
      <rPr>
        <sz val="14"/>
        <rFont val="標楷體"/>
        <family val="4"/>
        <charset val="136"/>
      </rPr>
      <t>萬戶逐年下降至</t>
    </r>
    <r>
      <rPr>
        <sz val="14"/>
        <rFont val="Times New Roman"/>
        <family val="1"/>
      </rPr>
      <t>113</t>
    </r>
    <r>
      <rPr>
        <sz val="14"/>
        <rFont val="標楷體"/>
        <family val="4"/>
        <charset val="136"/>
      </rPr>
      <t>年第</t>
    </r>
    <r>
      <rPr>
        <sz val="14"/>
        <rFont val="Times New Roman"/>
        <family val="1"/>
      </rPr>
      <t>2</t>
    </r>
    <r>
      <rPr>
        <sz val="14"/>
        <rFont val="標楷體"/>
        <family val="4"/>
        <charset val="136"/>
      </rPr>
      <t>季訂戶數</t>
    </r>
    <r>
      <rPr>
        <sz val="14"/>
        <rFont val="Times New Roman"/>
        <family val="1"/>
      </rPr>
      <t>442</t>
    </r>
    <r>
      <rPr>
        <sz val="14"/>
        <rFont val="標楷體"/>
        <family val="4"/>
        <charset val="136"/>
      </rPr>
      <t>萬戶，應針對用戶需要狀況，協助相關產業規劃有效之方案，以利產業健全發展。</t>
    </r>
  </si>
  <si>
    <r>
      <rPr>
        <sz val="14"/>
        <rFont val="標楷體"/>
        <family val="4"/>
        <charset val="136"/>
      </rPr>
      <t>目前媒體報導公視台語台小編將臉書營利匯入私人帳戶，公視竟事隔</t>
    </r>
    <r>
      <rPr>
        <sz val="14"/>
        <rFont val="Times New Roman"/>
        <family val="1"/>
      </rPr>
      <t>1</t>
    </r>
    <r>
      <rPr>
        <sz val="14"/>
        <rFont val="標楷體"/>
        <family val="4"/>
        <charset val="136"/>
      </rPr>
      <t>個月才公告懲處；另今年</t>
    </r>
    <r>
      <rPr>
        <sz val="14"/>
        <rFont val="Times New Roman"/>
        <family val="1"/>
      </rPr>
      <t>11</t>
    </r>
    <r>
      <rPr>
        <sz val="14"/>
        <rFont val="標楷體"/>
        <family val="4"/>
        <charset val="136"/>
      </rPr>
      <t>月公視</t>
    </r>
    <r>
      <rPr>
        <sz val="14"/>
        <rFont val="Times New Roman"/>
        <family val="1"/>
      </rPr>
      <t>TaiwanPlus</t>
    </r>
    <r>
      <rPr>
        <sz val="14"/>
        <rFont val="標楷體"/>
        <family val="4"/>
        <charset val="136"/>
      </rPr>
      <t>報導指川普為被定罪重罪犯。公視製播新聞節目應秉持嚴謹立場。就上述事件於</t>
    </r>
    <r>
      <rPr>
        <sz val="14"/>
        <rFont val="Times New Roman"/>
        <family val="1"/>
      </rPr>
      <t>3</t>
    </r>
    <r>
      <rPr>
        <sz val="14"/>
        <rFont val="標楷體"/>
        <family val="4"/>
        <charset val="136"/>
      </rPr>
      <t>個月內提出書面報告。</t>
    </r>
    <phoneticPr fontId="32" type="noConversion"/>
  </si>
  <si>
    <r>
      <rPr>
        <sz val="14"/>
        <rFont val="標楷體"/>
        <family val="4"/>
        <charset val="136"/>
      </rPr>
      <t>「有線電視普及發展與災害復建補助計畫</t>
    </r>
    <r>
      <rPr>
        <sz val="14"/>
        <rFont val="Times New Roman"/>
        <family val="1"/>
      </rPr>
      <t>-</t>
    </r>
    <r>
      <rPr>
        <sz val="14"/>
        <rFont val="標楷體"/>
        <family val="4"/>
        <charset val="136"/>
      </rPr>
      <t>捐助、補助與獎助</t>
    </r>
    <r>
      <rPr>
        <sz val="14"/>
        <rFont val="Times New Roman"/>
        <family val="1"/>
      </rPr>
      <t>-</t>
    </r>
    <r>
      <rPr>
        <sz val="14"/>
        <rFont val="標楷體"/>
        <family val="4"/>
        <charset val="136"/>
      </rPr>
      <t>超高畫質與數位應用加值服務建置費」自</t>
    </r>
    <r>
      <rPr>
        <sz val="14"/>
        <rFont val="Times New Roman"/>
        <family val="1"/>
      </rPr>
      <t>108</t>
    </r>
    <r>
      <rPr>
        <sz val="14"/>
        <rFont val="標楷體"/>
        <family val="4"/>
        <charset val="136"/>
      </rPr>
      <t>年至</t>
    </r>
    <r>
      <rPr>
        <sz val="14"/>
        <rFont val="Times New Roman"/>
        <family val="1"/>
      </rPr>
      <t>113</t>
    </r>
    <r>
      <rPr>
        <sz val="14"/>
        <rFont val="標楷體"/>
        <family val="4"/>
        <charset val="136"/>
      </rPr>
      <t>年</t>
    </r>
    <r>
      <rPr>
        <sz val="14"/>
        <rFont val="Times New Roman"/>
        <family val="1"/>
      </rPr>
      <t>7</t>
    </r>
    <r>
      <rPr>
        <sz val="14"/>
        <rFont val="標楷體"/>
        <family val="4"/>
        <charset val="136"/>
      </rPr>
      <t>月底共投入</t>
    </r>
    <r>
      <rPr>
        <sz val="14"/>
        <rFont val="Times New Roman"/>
        <family val="1"/>
      </rPr>
      <t>3.04</t>
    </r>
    <r>
      <rPr>
        <sz val="14"/>
        <rFont val="標楷體"/>
        <family val="4"/>
        <charset val="136"/>
      </rPr>
      <t>億元，惟訂戶數未見回升，爰要求通傳會進行全面檢討，於</t>
    </r>
    <r>
      <rPr>
        <sz val="14"/>
        <rFont val="Times New Roman"/>
        <family val="1"/>
      </rPr>
      <t>3</t>
    </r>
    <r>
      <rPr>
        <sz val="14"/>
        <rFont val="標楷體"/>
        <family val="4"/>
        <charset val="136"/>
      </rPr>
      <t>個月內提出書面檢討報告。</t>
    </r>
    <phoneticPr fontId="32" type="noConversion"/>
  </si>
  <si>
    <r>
      <rPr>
        <sz val="14"/>
        <rFont val="標楷體"/>
        <family val="4"/>
        <charset val="136"/>
      </rPr>
      <t>隨網路影音平台普及與網路串流影音快速崛起，導致有線電視系統收視戶及佔有率逐年遞減。為有效提升有線電視用戶數，爰要求通傳會針對如何輔導業者提升服務品質進行研議，於</t>
    </r>
    <r>
      <rPr>
        <sz val="14"/>
        <rFont val="Times New Roman"/>
        <family val="1"/>
      </rPr>
      <t>3</t>
    </r>
    <r>
      <rPr>
        <sz val="14"/>
        <rFont val="標楷體"/>
        <family val="4"/>
        <charset val="136"/>
      </rPr>
      <t>個月內提出書面報告。</t>
    </r>
  </si>
  <si>
    <r>
      <t>112</t>
    </r>
    <r>
      <rPr>
        <sz val="14"/>
        <rFont val="標楷體"/>
        <family val="4"/>
        <charset val="136"/>
      </rPr>
      <t>年度部分地方政府運用受撥款項仍有相關缺失，應於</t>
    </r>
    <r>
      <rPr>
        <sz val="14"/>
        <rFont val="Times New Roman"/>
        <family val="1"/>
      </rPr>
      <t>2</t>
    </r>
    <r>
      <rPr>
        <sz val="14"/>
        <rFont val="標楷體"/>
        <family val="4"/>
        <charset val="136"/>
      </rPr>
      <t>個月內提出書面報告，針對如何協助地方政府確實依法令用途使用，增加資源運用效益，藉以幫助地方文化發展，發揮基金之最大效益。</t>
    </r>
    <phoneticPr fontId="32" type="noConversion"/>
  </si>
  <si>
    <r>
      <rPr>
        <sz val="14"/>
        <rFont val="標楷體"/>
        <family val="4"/>
        <charset val="136"/>
      </rPr>
      <t>隨網路服務普及等，傳統有線電視系統收視戶逐漸流失。雖通傳會已採取因應策略，惟有線電視系統收視戶逐漸流失之困境仍未見緩，爰請通傳會於</t>
    </r>
    <r>
      <rPr>
        <sz val="14"/>
        <rFont val="Times New Roman"/>
        <family val="1"/>
      </rPr>
      <t>2</t>
    </r>
    <r>
      <rPr>
        <sz val="14"/>
        <rFont val="標楷體"/>
        <family val="4"/>
        <charset val="136"/>
      </rPr>
      <t>個月內提出書面報告，針對如何促進有線電視產業面對多重視訊平台之競爭與發展。</t>
    </r>
    <phoneticPr fontId="32" type="noConversion"/>
  </si>
  <si>
    <r>
      <rPr>
        <sz val="14"/>
        <rFont val="標楷體"/>
        <family val="4"/>
        <charset val="136"/>
      </rPr>
      <t>有線電視系統收視戶逐漸流失，網路電視與影音平台等多元收視管道興起，訂閱傳統有線電視收視逐年下降，爰請通傳會於</t>
    </r>
    <r>
      <rPr>
        <sz val="14"/>
        <rFont val="Times New Roman"/>
        <family val="1"/>
      </rPr>
      <t>3</t>
    </r>
    <r>
      <rPr>
        <sz val="14"/>
        <rFont val="標楷體"/>
        <family val="4"/>
        <charset val="136"/>
      </rPr>
      <t>個月內提出書面報告。</t>
    </r>
    <phoneticPr fontId="32" type="noConversion"/>
  </si>
  <si>
    <r>
      <rPr>
        <sz val="14"/>
        <rFont val="標楷體"/>
        <family val="4"/>
        <charset val="136"/>
      </rPr>
      <t>註：</t>
    </r>
    <r>
      <rPr>
        <sz val="14"/>
        <rFont val="Times New Roman"/>
        <family val="1"/>
      </rPr>
      <t xml:space="preserve"> 1.</t>
    </r>
    <r>
      <rPr>
        <sz val="14"/>
        <rFont val="標楷體"/>
        <family val="4"/>
        <charset val="136"/>
      </rPr>
      <t>「委員會序號」欄之填列方式：請按</t>
    </r>
    <r>
      <rPr>
        <b/>
        <sz val="14"/>
        <rFont val="標楷體"/>
        <family val="4"/>
        <charset val="136"/>
      </rPr>
      <t>財委會編碼</t>
    </r>
    <r>
      <rPr>
        <sz val="14"/>
        <rFont val="標楷體"/>
        <family val="4"/>
        <charset val="136"/>
      </rPr>
      <t>填列。</t>
    </r>
    <phoneticPr fontId="32" type="noConversion"/>
  </si>
  <si>
    <r>
      <t>2.</t>
    </r>
    <r>
      <rPr>
        <sz val="14"/>
        <rFont val="標楷體"/>
        <family val="4"/>
        <charset val="136"/>
      </rPr>
      <t>「提案序號」欄之填列方式：請填原提案編號，若為</t>
    </r>
    <r>
      <rPr>
        <b/>
        <sz val="14"/>
        <rFont val="標楷體"/>
        <family val="4"/>
        <charset val="136"/>
      </rPr>
      <t>委員會決議以「委決</t>
    </r>
    <r>
      <rPr>
        <b/>
        <sz val="14"/>
        <rFont val="Times New Roman"/>
        <family val="1"/>
      </rPr>
      <t>1</t>
    </r>
    <r>
      <rPr>
        <b/>
        <sz val="14"/>
        <rFont val="標楷體"/>
        <family val="4"/>
        <charset val="136"/>
      </rPr>
      <t>」、「委決</t>
    </r>
    <r>
      <rPr>
        <b/>
        <sz val="14"/>
        <rFont val="Times New Roman"/>
        <family val="1"/>
      </rPr>
      <t>2</t>
    </r>
    <r>
      <rPr>
        <b/>
        <sz val="14"/>
        <rFont val="標楷體"/>
        <family val="4"/>
        <charset val="136"/>
      </rPr>
      <t>」；保留院會處理提案以「委保</t>
    </r>
    <r>
      <rPr>
        <b/>
        <sz val="14"/>
        <rFont val="Times New Roman"/>
        <family val="1"/>
      </rPr>
      <t>1</t>
    </r>
    <r>
      <rPr>
        <b/>
        <sz val="14"/>
        <rFont val="標楷體"/>
        <family val="4"/>
        <charset val="136"/>
      </rPr>
      <t>」、「委保</t>
    </r>
    <r>
      <rPr>
        <b/>
        <sz val="14"/>
        <rFont val="Times New Roman"/>
        <family val="1"/>
      </rPr>
      <t>2</t>
    </r>
    <r>
      <rPr>
        <b/>
        <sz val="14"/>
        <rFont val="標楷體"/>
        <family val="4"/>
        <charset val="136"/>
      </rPr>
      <t>」之簡稱</t>
    </r>
    <r>
      <rPr>
        <sz val="14"/>
        <rFont val="標楷體"/>
        <family val="4"/>
        <charset val="136"/>
      </rPr>
      <t>，以此類推。</t>
    </r>
    <phoneticPr fontId="32" type="noConversion"/>
  </si>
  <si>
    <r>
      <t>3.</t>
    </r>
    <r>
      <rPr>
        <sz val="14"/>
        <rFont val="標楷體"/>
        <family val="4"/>
        <charset val="136"/>
      </rPr>
      <t>「提案黨團」欄之填列方式：請以</t>
    </r>
    <r>
      <rPr>
        <b/>
        <sz val="14"/>
        <rFont val="標楷體"/>
        <family val="4"/>
        <charset val="136"/>
      </rPr>
      <t>「國民黨」、「民進黨」、「民眾黨」及「時代力量」</t>
    </r>
    <r>
      <rPr>
        <sz val="14"/>
        <rFont val="標楷體"/>
        <family val="4"/>
        <charset val="136"/>
      </rPr>
      <t>等擇一填列。</t>
    </r>
    <phoneticPr fontId="32" type="noConversion"/>
  </si>
  <si>
    <r>
      <t>4.</t>
    </r>
    <r>
      <rPr>
        <sz val="14"/>
        <rFont val="標楷體"/>
        <family val="4"/>
        <charset val="136"/>
      </rPr>
      <t>「提案委員」欄之填列方式：請填</t>
    </r>
    <r>
      <rPr>
        <b/>
        <sz val="14"/>
        <rFont val="標楷體"/>
        <family val="4"/>
        <charset val="136"/>
      </rPr>
      <t>第</t>
    </r>
    <r>
      <rPr>
        <b/>
        <sz val="14"/>
        <rFont val="Times New Roman"/>
        <family val="1"/>
      </rPr>
      <t>1</t>
    </r>
    <r>
      <rPr>
        <b/>
        <sz val="14"/>
        <rFont val="標楷體"/>
        <family val="4"/>
        <charset val="136"/>
      </rPr>
      <t>位提案人</t>
    </r>
    <r>
      <rPr>
        <sz val="14"/>
        <rFont val="標楷體"/>
        <family val="4"/>
        <charset val="136"/>
      </rPr>
      <t>即可。</t>
    </r>
    <phoneticPr fontId="32" type="noConversion"/>
  </si>
  <si>
    <r>
      <t>5.</t>
    </r>
    <r>
      <rPr>
        <sz val="14"/>
        <rFont val="標楷體"/>
        <family val="4"/>
        <charset val="136"/>
      </rPr>
      <t>為因應</t>
    </r>
    <r>
      <rPr>
        <sz val="14"/>
        <rFont val="Times New Roman"/>
        <family val="1"/>
      </rPr>
      <t>EXCEL</t>
    </r>
    <r>
      <rPr>
        <sz val="14"/>
        <rFont val="標楷體"/>
        <family val="4"/>
        <charset val="136"/>
      </rPr>
      <t>版本排版自動折行問題，項目內容如有</t>
    </r>
    <r>
      <rPr>
        <sz val="14"/>
        <rFont val="Times New Roman"/>
        <family val="1"/>
      </rPr>
      <t>"-"</t>
    </r>
    <r>
      <rPr>
        <sz val="14"/>
        <rFont val="標楷體"/>
        <family val="4"/>
        <charset val="136"/>
      </rPr>
      <t>請</t>
    </r>
    <r>
      <rPr>
        <b/>
        <sz val="14"/>
        <rFont val="標楷體"/>
        <family val="4"/>
        <charset val="136"/>
      </rPr>
      <t>一律以全形</t>
    </r>
    <r>
      <rPr>
        <b/>
        <sz val="14"/>
        <rFont val="Times New Roman"/>
        <family val="1"/>
      </rPr>
      <t>"</t>
    </r>
    <r>
      <rPr>
        <b/>
        <sz val="14"/>
        <rFont val="標楷體"/>
        <family val="4"/>
        <charset val="136"/>
      </rPr>
      <t>－</t>
    </r>
    <r>
      <rPr>
        <b/>
        <sz val="14"/>
        <rFont val="Times New Roman"/>
        <family val="1"/>
      </rPr>
      <t>"</t>
    </r>
    <r>
      <rPr>
        <b/>
        <sz val="14"/>
        <rFont val="標楷體"/>
        <family val="4"/>
        <charset val="136"/>
      </rPr>
      <t>表達</t>
    </r>
    <r>
      <rPr>
        <sz val="14"/>
        <rFont val="標楷體"/>
        <family val="4"/>
        <charset val="136"/>
      </rPr>
      <t>。</t>
    </r>
    <phoneticPr fontId="32" type="noConversion"/>
  </si>
  <si>
    <r>
      <t>115</t>
    </r>
    <r>
      <rPr>
        <b/>
        <sz val="20"/>
        <rFont val="標楷體"/>
        <family val="4"/>
        <charset val="136"/>
      </rPr>
      <t>年度附屬單位預算案提案彙總表－非營業基金</t>
    </r>
    <r>
      <rPr>
        <b/>
        <sz val="20"/>
        <rFont val="Times New Roman"/>
        <family val="1"/>
      </rPr>
      <t>(</t>
    </r>
    <r>
      <rPr>
        <b/>
        <sz val="20"/>
        <rFont val="標楷體"/>
        <family val="4"/>
        <charset val="136"/>
      </rPr>
      <t>○○委員會</t>
    </r>
    <r>
      <rPr>
        <b/>
        <sz val="20"/>
        <rFont val="Times New Roman"/>
        <family val="1"/>
      </rPr>
      <t xml:space="preserve">)                                                                         </t>
    </r>
    <phoneticPr fontId="32" type="noConversion"/>
  </si>
  <si>
    <r>
      <rPr>
        <b/>
        <sz val="14"/>
        <rFont val="標楷體"/>
        <family val="4"/>
        <charset val="136"/>
      </rPr>
      <t xml:space="preserve">提案項目內容
</t>
    </r>
    <r>
      <rPr>
        <b/>
        <sz val="14"/>
        <rFont val="Times New Roman"/>
        <family val="1"/>
      </rPr>
      <t>(</t>
    </r>
    <r>
      <rPr>
        <b/>
        <sz val="14"/>
        <rFont val="標楷體"/>
        <family val="4"/>
        <charset val="136"/>
      </rPr>
      <t>請簡要說明，以</t>
    </r>
    <r>
      <rPr>
        <b/>
        <sz val="14"/>
        <rFont val="Times New Roman"/>
        <family val="1"/>
      </rPr>
      <t>6</t>
    </r>
    <r>
      <rPr>
        <b/>
        <sz val="14"/>
        <rFont val="標楷體"/>
        <family val="4"/>
        <charset val="136"/>
      </rPr>
      <t>行為限</t>
    </r>
    <r>
      <rPr>
        <b/>
        <sz val="14"/>
        <rFont val="Times New Roman"/>
        <family val="1"/>
      </rPr>
      <t>)</t>
    </r>
    <phoneticPr fontId="32" type="noConversion"/>
  </si>
  <si>
    <r>
      <rPr>
        <b/>
        <sz val="14"/>
        <rFont val="標楷體"/>
        <family val="4"/>
        <charset val="136"/>
      </rPr>
      <t>一、建請刪除本項提案</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r>
      <rPr>
        <sz val="14"/>
        <rFont val="Times New Roman"/>
        <family val="1"/>
      </rPr>
      <t xml:space="preserve">
</t>
    </r>
    <r>
      <rPr>
        <sz val="14"/>
        <rFont val="標楷體"/>
        <family val="4"/>
        <charset val="136"/>
      </rPr>
      <t>二、窒礙難行說明。
三、本年度截至○月底執行數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千元。</t>
    </r>
    <phoneticPr fontId="32" type="noConversion"/>
  </si>
  <si>
    <r>
      <rPr>
        <b/>
        <sz val="14"/>
        <color rgb="FFFF0000"/>
        <rFont val="標楷體"/>
        <family val="4"/>
        <charset val="136"/>
      </rPr>
      <t>【涉及減列或凍結預算者】</t>
    </r>
    <r>
      <rPr>
        <b/>
        <sz val="14"/>
        <rFont val="Times New Roman"/>
        <family val="1"/>
      </rPr>
      <t xml:space="preserve">
</t>
    </r>
    <r>
      <rPr>
        <b/>
        <sz val="14"/>
        <rFont val="標楷體"/>
        <family val="4"/>
        <charset val="136"/>
      </rPr>
      <t>一、建請免予減列或凍結，並修正提案文字為「</t>
    </r>
    <r>
      <rPr>
        <b/>
        <sz val="14"/>
        <rFont val="Times New Roman"/>
        <family val="1"/>
      </rPr>
      <t>…</t>
    </r>
    <r>
      <rPr>
        <b/>
        <sz val="14"/>
        <rFont val="標楷體"/>
        <family val="4"/>
        <charset val="136"/>
      </rPr>
      <t>。」</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r>
      <rPr>
        <sz val="14"/>
        <rFont val="Times New Roman"/>
        <family val="1"/>
      </rPr>
      <t xml:space="preserve">
</t>
    </r>
    <r>
      <rPr>
        <sz val="14"/>
        <rFont val="標楷體"/>
        <family val="4"/>
        <charset val="136"/>
      </rPr>
      <t>二、窒礙難行說明。
三、本年度截至○月底執行數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 xml:space="preserve">千元。
</t>
    </r>
    <r>
      <rPr>
        <b/>
        <sz val="14"/>
        <color rgb="FFFF0000"/>
        <rFont val="標楷體"/>
        <family val="4"/>
        <charset val="136"/>
      </rPr>
      <t>【主決議】</t>
    </r>
    <r>
      <rPr>
        <b/>
        <sz val="14"/>
        <rFont val="Times New Roman"/>
        <family val="1"/>
      </rPr>
      <t xml:space="preserve">
</t>
    </r>
    <r>
      <rPr>
        <b/>
        <sz val="14"/>
        <rFont val="標楷體"/>
        <family val="4"/>
        <charset val="136"/>
      </rPr>
      <t>建請修正提案文字為「</t>
    </r>
    <r>
      <rPr>
        <b/>
        <sz val="14"/>
        <rFont val="Times New Roman"/>
        <family val="1"/>
      </rPr>
      <t>…</t>
    </r>
    <r>
      <rPr>
        <b/>
        <sz val="14"/>
        <rFont val="標楷體"/>
        <family val="4"/>
        <charset val="136"/>
      </rPr>
      <t>。」</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t>
    </r>
    <phoneticPr fontId="32" type="noConversion"/>
  </si>
  <si>
    <r>
      <rPr>
        <b/>
        <sz val="14"/>
        <rFont val="標楷體"/>
        <family val="4"/>
        <charset val="136"/>
      </rPr>
      <t>一、建請第</t>
    </r>
    <r>
      <rPr>
        <b/>
        <sz val="14"/>
        <rFont val="Times New Roman"/>
        <family val="1"/>
      </rPr>
      <t>XX</t>
    </r>
    <r>
      <rPr>
        <b/>
        <sz val="14"/>
        <rFont val="標楷體"/>
        <family val="4"/>
        <charset val="136"/>
      </rPr>
      <t>、</t>
    </r>
    <r>
      <rPr>
        <b/>
        <sz val="14"/>
        <rFont val="Times New Roman"/>
        <family val="1"/>
      </rPr>
      <t>XX</t>
    </r>
    <r>
      <rPr>
        <b/>
        <sz val="14"/>
        <rFont val="標楷體"/>
        <family val="4"/>
        <charset val="136"/>
      </rPr>
      <t>及</t>
    </r>
    <r>
      <rPr>
        <b/>
        <sz val="14"/>
        <rFont val="Times New Roman"/>
        <family val="1"/>
      </rPr>
      <t>XX</t>
    </r>
    <r>
      <rPr>
        <b/>
        <sz val="14"/>
        <rFont val="標楷體"/>
        <family val="4"/>
        <charset val="136"/>
      </rPr>
      <t>案併案處理，免予減列或凍結，並修正提案文字為「</t>
    </r>
    <r>
      <rPr>
        <b/>
        <sz val="14"/>
        <rFont val="Times New Roman"/>
        <family val="1"/>
      </rPr>
      <t>…</t>
    </r>
    <r>
      <rPr>
        <b/>
        <sz val="14"/>
        <rFont val="標楷體"/>
        <family val="4"/>
        <charset val="136"/>
      </rPr>
      <t>。」</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 xml:space="preserve">。
</t>
    </r>
    <r>
      <rPr>
        <sz val="14"/>
        <rFont val="標楷體"/>
        <family val="4"/>
        <charset val="136"/>
      </rPr>
      <t>二、</t>
    </r>
    <r>
      <rPr>
        <sz val="14"/>
        <rFont val="Times New Roman"/>
        <family val="1"/>
      </rPr>
      <t>114</t>
    </r>
    <r>
      <rPr>
        <sz val="14"/>
        <rFont val="標楷體"/>
        <family val="4"/>
        <charset val="136"/>
      </rPr>
      <t>年度決算數</t>
    </r>
    <r>
      <rPr>
        <sz val="14"/>
        <rFont val="Times New Roman"/>
        <family val="1"/>
      </rPr>
      <t>XXX</t>
    </r>
    <r>
      <rPr>
        <sz val="14"/>
        <rFont val="標楷體"/>
        <family val="4"/>
        <charset val="136"/>
      </rPr>
      <t>千元，本年度截至○月底執行數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千元。</t>
    </r>
    <r>
      <rPr>
        <b/>
        <sz val="14"/>
        <rFont val="Times New Roman"/>
        <family val="1"/>
      </rPr>
      <t xml:space="preserve">
</t>
    </r>
    <r>
      <rPr>
        <sz val="14"/>
        <rFont val="標楷體"/>
        <family val="4"/>
        <charset val="136"/>
      </rPr>
      <t>或</t>
    </r>
    <r>
      <rPr>
        <b/>
        <sz val="14"/>
        <rFont val="Times New Roman"/>
        <family val="1"/>
      </rPr>
      <t xml:space="preserve">
</t>
    </r>
    <r>
      <rPr>
        <b/>
        <sz val="14"/>
        <rFont val="標楷體"/>
        <family val="4"/>
        <charset val="136"/>
      </rPr>
      <t>一、建請併</t>
    </r>
    <r>
      <rPr>
        <b/>
        <sz val="14"/>
        <rFont val="Times New Roman"/>
        <family val="1"/>
      </rPr>
      <t>XX</t>
    </r>
    <r>
      <rPr>
        <b/>
        <sz val="14"/>
        <rFont val="標楷體"/>
        <family val="4"/>
        <charset val="136"/>
      </rPr>
      <t>委員會決議辦理【請一併於提案項目內容</t>
    </r>
    <r>
      <rPr>
        <b/>
        <sz val="14"/>
        <rFont val="Times New Roman"/>
        <family val="1"/>
      </rPr>
      <t>(E</t>
    </r>
    <r>
      <rPr>
        <b/>
        <sz val="14"/>
        <rFont val="標楷體"/>
        <family val="4"/>
        <charset val="136"/>
      </rPr>
      <t>欄</t>
    </r>
    <r>
      <rPr>
        <b/>
        <sz val="14"/>
        <rFont val="Times New Roman"/>
        <family val="1"/>
      </rPr>
      <t>)</t>
    </r>
    <r>
      <rPr>
        <b/>
        <sz val="14"/>
        <rFont val="標楷體"/>
        <family val="4"/>
        <charset val="136"/>
      </rPr>
      <t>括號說明委員會決議內容】</t>
    </r>
    <r>
      <rPr>
        <b/>
        <sz val="14"/>
        <rFont val="Times New Roman"/>
        <family val="1"/>
      </rPr>
      <t>(</t>
    </r>
    <r>
      <rPr>
        <b/>
        <sz val="14"/>
        <rFont val="標楷體"/>
        <family val="4"/>
        <charset val="136"/>
      </rPr>
      <t>請以粗體表達</t>
    </r>
    <r>
      <rPr>
        <b/>
        <sz val="14"/>
        <rFont val="Times New Roman"/>
        <family val="1"/>
      </rPr>
      <t>)</t>
    </r>
    <r>
      <rPr>
        <b/>
        <sz val="14"/>
        <rFont val="標楷體"/>
        <family val="4"/>
        <charset val="136"/>
      </rPr>
      <t xml:space="preserve">。
</t>
    </r>
    <r>
      <rPr>
        <sz val="14"/>
        <rFont val="標楷體"/>
        <family val="4"/>
        <charset val="136"/>
      </rPr>
      <t>二、</t>
    </r>
    <r>
      <rPr>
        <sz val="14"/>
        <rFont val="Times New Roman"/>
        <family val="1"/>
      </rPr>
      <t>114</t>
    </r>
    <r>
      <rPr>
        <sz val="14"/>
        <rFont val="標楷體"/>
        <family val="4"/>
        <charset val="136"/>
      </rPr>
      <t>年度決算數</t>
    </r>
    <r>
      <rPr>
        <sz val="14"/>
        <rFont val="Times New Roman"/>
        <family val="1"/>
      </rPr>
      <t>XXX</t>
    </r>
    <r>
      <rPr>
        <sz val="14"/>
        <rFont val="標楷體"/>
        <family val="4"/>
        <charset val="136"/>
      </rPr>
      <t>千元，本年度截至○月底執行數</t>
    </r>
    <r>
      <rPr>
        <sz val="14"/>
        <rFont val="Times New Roman"/>
        <family val="1"/>
      </rPr>
      <t>XXX</t>
    </r>
    <r>
      <rPr>
        <sz val="14"/>
        <rFont val="標楷體"/>
        <family val="4"/>
        <charset val="136"/>
      </rPr>
      <t>千元，預估尚須執行</t>
    </r>
    <r>
      <rPr>
        <sz val="14"/>
        <rFont val="Times New Roman"/>
        <family val="1"/>
      </rPr>
      <t>XXX</t>
    </r>
    <r>
      <rPr>
        <sz val="14"/>
        <rFont val="標楷體"/>
        <family val="4"/>
        <charset val="136"/>
      </rPr>
      <t>千元，全年共需</t>
    </r>
    <r>
      <rPr>
        <sz val="14"/>
        <rFont val="Times New Roman"/>
        <family val="1"/>
      </rPr>
      <t>XXX</t>
    </r>
    <r>
      <rPr>
        <sz val="14"/>
        <rFont val="標楷體"/>
        <family val="4"/>
        <charset val="136"/>
      </rPr>
      <t>千元。</t>
    </r>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</si>
</sst>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_-* #,##0_-;\-* #,##0_-;_-* &quot;-&quot;??_-;_-@_-"/>
    <numFmt numFmtId="178" formatCode="_-* #,##0.00_-;\-* #,##0.00_-;_-* \-??_-;_-@_-"/>
  </numFmts>
  <fonts count="60" x14ac:knownFonts="1">
    <font>
      <sz val="12"/>
      <name val="新細明體"/>
      <family val="1"/>
      <charset val="136"/>
    </font>
    <font>
      <sz val="12"/>
      <color theme="1"/>
      <name val="新細明體"/>
      <family val="2"/>
      <charset val="136"/>
      <scheme val="minor"/>
    </font>
    <font>
      <sz val="12"/>
      <name val="Times New Roman"/>
      <family val="1"/>
    </font>
    <font>
      <sz val="12"/>
      <name val="標楷體"/>
      <family val="4"/>
      <charset val="136"/>
    </font>
    <font>
      <b/>
      <sz val="14"/>
      <name val="Times New Roman"/>
      <family val="1"/>
    </font>
    <font>
      <b/>
      <sz val="14"/>
      <name val="標楷體"/>
      <family val="4"/>
      <charset val="136"/>
    </font>
    <font>
      <sz val="14"/>
      <name val="Times New Roman"/>
      <family val="1"/>
    </font>
    <font>
      <sz val="14"/>
      <name val="標楷體"/>
      <family val="4"/>
      <charset val="136"/>
    </font>
    <font>
      <sz val="12"/>
      <color indexed="8"/>
      <name val="新細明體"/>
      <family val="1"/>
      <charset val="136"/>
    </font>
    <font>
      <sz val="12"/>
      <color indexed="9"/>
      <name val="新細明體"/>
      <family val="1"/>
      <charset val="136"/>
    </font>
    <font>
      <sz val="12"/>
      <color indexed="60"/>
      <name val="新細明體"/>
      <family val="1"/>
      <charset val="136"/>
    </font>
    <font>
      <b/>
      <sz val="12"/>
      <color indexed="8"/>
      <name val="新細明體"/>
      <family val="1"/>
      <charset val="136"/>
    </font>
    <font>
      <sz val="12"/>
      <color indexed="17"/>
      <name val="新細明體"/>
      <family val="1"/>
      <charset val="136"/>
    </font>
    <font>
      <b/>
      <sz val="12"/>
      <color indexed="52"/>
      <name val="新細明體"/>
      <family val="1"/>
      <charset val="136"/>
    </font>
    <font>
      <sz val="12"/>
      <color indexed="52"/>
      <name val="新細明體"/>
      <family val="1"/>
      <charset val="136"/>
    </font>
    <font>
      <sz val="12"/>
      <name val="新細明體"/>
      <family val="1"/>
      <charset val="136"/>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2"/>
      <color indexed="10"/>
      <name val="新細明體"/>
      <family val="1"/>
      <charset val="136"/>
    </font>
    <font>
      <sz val="10"/>
      <name val="Arial"/>
      <family val="2"/>
    </font>
    <font>
      <u/>
      <sz val="12"/>
      <color indexed="30"/>
      <name val="新細明體"/>
      <family val="1"/>
      <charset val="136"/>
    </font>
    <font>
      <sz val="12"/>
      <color indexed="10"/>
      <name val="Times New Roman"/>
      <family val="1"/>
    </font>
    <font>
      <b/>
      <sz val="20"/>
      <name val="標楷體"/>
      <family val="4"/>
      <charset val="136"/>
    </font>
    <font>
      <b/>
      <sz val="20"/>
      <name val="Times New Roman"/>
      <family val="1"/>
    </font>
    <font>
      <sz val="12"/>
      <color indexed="64"/>
      <name val="新細明體"/>
      <family val="1"/>
      <charset val="136"/>
    </font>
    <font>
      <sz val="9"/>
      <name val="新細明體"/>
      <family val="1"/>
      <charset val="136"/>
    </font>
    <font>
      <sz val="14"/>
      <color indexed="8"/>
      <name val="Times New Roman"/>
      <family val="1"/>
    </font>
    <font>
      <b/>
      <sz val="14"/>
      <color indexed="8"/>
      <name val="標楷體"/>
      <family val="4"/>
      <charset val="136"/>
    </font>
    <font>
      <b/>
      <sz val="14"/>
      <color indexed="8"/>
      <name val="Times New Roman"/>
      <family val="1"/>
    </font>
    <font>
      <sz val="14"/>
      <color indexed="10"/>
      <name val="Times New Roman"/>
      <family val="1"/>
    </font>
    <font>
      <b/>
      <sz val="14"/>
      <color indexed="10"/>
      <name val="Times New Roman"/>
      <family val="1"/>
    </font>
    <font>
      <b/>
      <sz val="10"/>
      <name val="標楷體"/>
      <family val="4"/>
      <charset val="136"/>
    </font>
    <font>
      <b/>
      <sz val="14"/>
      <name val="Times New Roman"/>
      <family val="1"/>
    </font>
    <font>
      <sz val="14"/>
      <color rgb="FF000000"/>
      <name val="Times New Roman"/>
      <family val="1"/>
    </font>
    <font>
      <sz val="14"/>
      <color theme="1"/>
      <name val="Times New Roman"/>
      <family val="1"/>
    </font>
    <font>
      <b/>
      <sz val="14"/>
      <name val="新細明體"/>
      <family val="1"/>
      <charset val="136"/>
    </font>
    <font>
      <sz val="14"/>
      <color rgb="FF000000"/>
      <name val="標楷體"/>
      <family val="4"/>
      <charset val="136"/>
    </font>
    <font>
      <sz val="9"/>
      <name val="新細明體"/>
      <family val="2"/>
      <charset val="136"/>
      <scheme val="minor"/>
    </font>
    <font>
      <sz val="14"/>
      <color indexed="8"/>
      <name val="標楷體"/>
      <family val="4"/>
      <charset val="136"/>
    </font>
    <font>
      <b/>
      <sz val="14"/>
      <color rgb="FF000000"/>
      <name val="標楷體"/>
      <family val="4"/>
      <charset val="136"/>
    </font>
    <font>
      <b/>
      <sz val="14"/>
      <color rgb="FF000000"/>
      <name val="Times New Roman"/>
      <family val="1"/>
    </font>
    <font>
      <sz val="14"/>
      <name val="新細明體"/>
      <family val="1"/>
      <charset val="136"/>
    </font>
    <font>
      <b/>
      <sz val="10"/>
      <name val="Times New Roman"/>
      <family val="1"/>
    </font>
    <font>
      <sz val="14"/>
      <color rgb="FFFF0000"/>
      <name val="Times New Roman"/>
      <family val="1"/>
    </font>
    <font>
      <b/>
      <sz val="14"/>
      <color rgb="FFFF0000"/>
      <name val="Times New Roman"/>
      <family val="1"/>
    </font>
    <font>
      <b/>
      <sz val="14"/>
      <name val="微軟正黑體"/>
      <family val="2"/>
      <charset val="136"/>
    </font>
    <font>
      <b/>
      <sz val="14"/>
      <name val="Times New Roman"/>
      <family val="4"/>
      <charset val="136"/>
    </font>
    <font>
      <b/>
      <sz val="14"/>
      <name val="Times New Roman"/>
      <family val="4"/>
    </font>
    <font>
      <sz val="12"/>
      <color rgb="FF000000"/>
      <name val="標楷體"/>
      <family val="4"/>
      <charset val="136"/>
    </font>
    <font>
      <sz val="14"/>
      <name val="Times New Roman"/>
      <family val="4"/>
      <charset val="136"/>
    </font>
    <font>
      <sz val="14"/>
      <name val="Times New Roman"/>
      <family val="4"/>
    </font>
    <font>
      <b/>
      <sz val="14"/>
      <color indexed="10"/>
      <name val="標楷體"/>
      <family val="4"/>
      <charset val="136"/>
    </font>
    <font>
      <b/>
      <sz val="14"/>
      <color rgb="FFFF0000"/>
      <name val="標楷體"/>
      <family val="4"/>
      <charset val="136"/>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3"/>
      </patternFill>
    </fill>
    <fill>
      <patternFill patternType="solid">
        <fgColor indexed="2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9847407452621"/>
        <bgColor indexed="64"/>
      </patternFill>
    </fill>
  </fills>
  <borders count="29">
    <border>
      <left/>
      <right/>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s>
  <cellStyleXfs count="1996">
    <xf numFmtId="0" fontId="0" fillId="0" borderId="0">
      <alignment vertical="center"/>
    </xf>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0" fontId="26" fillId="0" borderId="0"/>
    <xf numFmtId="0" fontId="15" fillId="0" borderId="0"/>
    <xf numFmtId="0" fontId="15" fillId="0" borderId="0"/>
    <xf numFmtId="0" fontId="31" fillId="0" borderId="0">
      <alignment vertical="center"/>
    </xf>
    <xf numFmtId="0" fontId="8" fillId="0" borderId="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178" fontId="15" fillId="0" borderId="0" applyFill="0" applyBorder="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43" fontId="15" fillId="0" borderId="0" applyFont="0" applyFill="0" applyBorder="0" applyAlignment="0" applyProtection="0">
      <alignment vertical="center"/>
    </xf>
    <xf numFmtId="0" fontId="10" fillId="16" borderId="0" applyNumberFormat="0" applyBorder="0" applyAlignment="0" applyProtection="0">
      <alignment vertical="center"/>
    </xf>
    <xf numFmtId="0" fontId="11" fillId="0" borderId="1" applyNumberFormat="0" applyFill="0" applyAlignment="0" applyProtection="0">
      <alignment vertical="center"/>
    </xf>
    <xf numFmtId="0" fontId="12" fillId="4" borderId="0" applyNumberFormat="0" applyBorder="0" applyAlignment="0" applyProtection="0">
      <alignment vertical="center"/>
    </xf>
    <xf numFmtId="9" fontId="15" fillId="0" borderId="0" applyFont="0" applyFill="0" applyBorder="0" applyAlignment="0" applyProtection="0">
      <alignment vertical="center"/>
    </xf>
    <xf numFmtId="0" fontId="13" fillId="17" borderId="2" applyNumberFormat="0" applyAlignment="0" applyProtection="0">
      <alignment vertical="center"/>
    </xf>
    <xf numFmtId="0" fontId="14" fillId="0" borderId="3" applyNumberFormat="0" applyFill="0" applyAlignment="0" applyProtection="0">
      <alignment vertical="center"/>
    </xf>
    <xf numFmtId="0" fontId="15" fillId="18" borderId="4" applyNumberFormat="0" applyFon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Protection="0">
      <alignment vertical="center"/>
    </xf>
    <xf numFmtId="0" fontId="16" fillId="0" borderId="0" applyNumberFormat="0" applyFill="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22"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3" fillId="0" borderId="0"/>
    <xf numFmtId="0" fontId="21" fillId="7" borderId="2" applyNumberFormat="0" applyAlignment="0" applyProtection="0">
      <alignment vertical="center"/>
    </xf>
    <xf numFmtId="0" fontId="22" fillId="17" borderId="8" applyNumberFormat="0" applyAlignment="0" applyProtection="0">
      <alignment vertical="center"/>
    </xf>
    <xf numFmtId="0" fontId="23" fillId="23" borderId="9" applyNumberFormat="0" applyAlignment="0" applyProtection="0">
      <alignment vertical="center"/>
    </xf>
    <xf numFmtId="0" fontId="24" fillId="3" borderId="0" applyNumberFormat="0" applyBorder="0" applyAlignment="0" applyProtection="0">
      <alignment vertical="center"/>
    </xf>
    <xf numFmtId="0" fontId="25" fillId="0" borderId="0" applyNumberFormat="0" applyFill="0" applyBorder="0" applyAlignment="0" applyProtection="0">
      <alignment vertical="center"/>
    </xf>
  </cellStyleXfs>
  <cellXfs count="190">
    <xf numFmtId="0" fontId="0" fillId="0" borderId="0" xfId="0">
      <alignment vertical="center"/>
    </xf>
    <xf numFmtId="0" fontId="2" fillId="26" borderId="10" xfId="0" applyFont="1" applyFill="1" applyBorder="1" applyAlignment="1">
      <alignment horizontal="justify" vertical="top" wrapText="1"/>
    </xf>
    <xf numFmtId="0" fontId="36" fillId="26" borderId="10" xfId="0" applyFont="1" applyFill="1" applyBorder="1" applyAlignment="1">
      <alignment horizontal="justify" vertical="top" wrapText="1"/>
    </xf>
    <xf numFmtId="0" fontId="2"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176" fontId="2" fillId="0" borderId="0" xfId="0" applyNumberFormat="1" applyFont="1" applyAlignment="1">
      <alignment vertical="top" wrapText="1"/>
    </xf>
    <xf numFmtId="0" fontId="28" fillId="0" borderId="0" xfId="0" applyFont="1" applyAlignment="1">
      <alignment vertical="top" wrapText="1"/>
    </xf>
    <xf numFmtId="0" fontId="2" fillId="0" borderId="11" xfId="0" applyFont="1" applyBorder="1" applyAlignment="1">
      <alignment horizontal="center" vertical="top" wrapText="1"/>
    </xf>
    <xf numFmtId="0" fontId="2" fillId="0" borderId="11" xfId="0" applyFont="1" applyBorder="1" applyAlignment="1">
      <alignment horizontal="left" vertical="top" wrapText="1"/>
    </xf>
    <xf numFmtId="176" fontId="2" fillId="0" borderId="11" xfId="0" applyNumberFormat="1" applyFont="1" applyBorder="1" applyAlignment="1">
      <alignment vertical="top" wrapText="1"/>
    </xf>
    <xf numFmtId="0" fontId="6" fillId="24" borderId="12" xfId="0" applyFont="1" applyFill="1" applyBorder="1" applyAlignment="1">
      <alignment horizontal="center" vertical="top" wrapText="1"/>
    </xf>
    <xf numFmtId="0" fontId="2" fillId="24" borderId="12" xfId="0" applyFont="1" applyFill="1" applyBorder="1" applyAlignment="1">
      <alignment horizontal="justify" vertical="top" wrapText="1"/>
    </xf>
    <xf numFmtId="0" fontId="33" fillId="25" borderId="13" xfId="0" applyFont="1" applyFill="1" applyBorder="1" applyAlignment="1">
      <alignment horizontal="center" vertical="top" wrapText="1"/>
    </xf>
    <xf numFmtId="3" fontId="33" fillId="25" borderId="10" xfId="0" applyNumberFormat="1" applyFont="1" applyFill="1" applyBorder="1" applyAlignment="1">
      <alignment horizontal="right" vertical="top" wrapText="1"/>
    </xf>
    <xf numFmtId="0" fontId="40" fillId="0" borderId="10" xfId="0" applyFont="1" applyBorder="1" applyAlignment="1">
      <alignment horizontal="center" vertical="top" wrapText="1"/>
    </xf>
    <xf numFmtId="0" fontId="6" fillId="0" borderId="0" xfId="0" applyFont="1" applyAlignment="1">
      <alignment vertical="top" wrapText="1"/>
    </xf>
    <xf numFmtId="0" fontId="35" fillId="0" borderId="10" xfId="0" applyFont="1" applyBorder="1" applyAlignment="1">
      <alignment horizontal="justify" vertical="top" wrapText="1"/>
    </xf>
    <xf numFmtId="0" fontId="4" fillId="27" borderId="13" xfId="0" applyFont="1" applyFill="1" applyBorder="1" applyAlignment="1">
      <alignment horizontal="center" vertical="center" wrapText="1"/>
    </xf>
    <xf numFmtId="0" fontId="6" fillId="24" borderId="14" xfId="0" applyFont="1" applyFill="1" applyBorder="1" applyAlignment="1">
      <alignment horizontal="justify" vertical="top" wrapText="1"/>
    </xf>
    <xf numFmtId="0" fontId="4" fillId="27" borderId="12" xfId="0" applyFont="1" applyFill="1" applyBorder="1" applyAlignment="1">
      <alignment horizontal="left" vertical="top"/>
    </xf>
    <xf numFmtId="0" fontId="4" fillId="24" borderId="12" xfId="0" applyFont="1" applyFill="1" applyBorder="1" applyAlignment="1">
      <alignment vertical="top" wrapText="1"/>
    </xf>
    <xf numFmtId="0" fontId="4" fillId="27" borderId="13" xfId="0" applyFont="1" applyFill="1" applyBorder="1" applyAlignment="1">
      <alignment horizontal="left" vertical="center"/>
    </xf>
    <xf numFmtId="0" fontId="28" fillId="0" borderId="0" xfId="0" applyFont="1" applyAlignment="1">
      <alignment vertical="center" wrapText="1"/>
    </xf>
    <xf numFmtId="0" fontId="37" fillId="0" borderId="0" xfId="0" applyFont="1" applyAlignment="1">
      <alignment vertical="center" wrapText="1"/>
    </xf>
    <xf numFmtId="0" fontId="4" fillId="27" borderId="13" xfId="0" applyFont="1" applyFill="1" applyBorder="1" applyAlignment="1">
      <alignment horizontal="justify" vertical="center" wrapText="1"/>
    </xf>
    <xf numFmtId="0" fontId="4" fillId="26" borderId="15" xfId="0" applyFont="1" applyFill="1" applyBorder="1" applyAlignment="1">
      <alignment horizontal="center" vertical="center" wrapText="1"/>
    </xf>
    <xf numFmtId="0" fontId="4" fillId="27" borderId="16" xfId="0" applyFont="1" applyFill="1" applyBorder="1" applyAlignment="1">
      <alignment horizontal="center" vertical="center" wrapText="1"/>
    </xf>
    <xf numFmtId="0" fontId="4" fillId="24" borderId="17" xfId="0" applyFont="1" applyFill="1" applyBorder="1" applyAlignment="1">
      <alignment vertical="top" wrapText="1"/>
    </xf>
    <xf numFmtId="0" fontId="4" fillId="27" borderId="18" xfId="0" applyFont="1" applyFill="1" applyBorder="1" applyAlignment="1">
      <alignment horizontal="center" vertical="center" wrapText="1"/>
    </xf>
    <xf numFmtId="0" fontId="34" fillId="0" borderId="10" xfId="0" applyFont="1" applyBorder="1" applyAlignment="1">
      <alignment horizontal="center" vertical="center" wrapText="1"/>
    </xf>
    <xf numFmtId="0" fontId="4" fillId="26" borderId="10" xfId="0" applyFont="1" applyFill="1" applyBorder="1" applyAlignment="1">
      <alignment horizontal="center" vertical="center" wrapText="1"/>
    </xf>
    <xf numFmtId="0" fontId="4" fillId="27" borderId="15" xfId="0" applyFont="1" applyFill="1" applyBorder="1">
      <alignment vertical="center"/>
    </xf>
    <xf numFmtId="0" fontId="4" fillId="27" borderId="12" xfId="0" applyFont="1" applyFill="1" applyBorder="1">
      <alignment vertical="center"/>
    </xf>
    <xf numFmtId="176" fontId="6" fillId="25" borderId="10" xfId="689" applyNumberFormat="1" applyFont="1" applyFill="1" applyBorder="1" applyAlignment="1">
      <alignment horizontal="right" vertical="top" wrapText="1"/>
    </xf>
    <xf numFmtId="9" fontId="33" fillId="25" borderId="10" xfId="1972" applyFont="1" applyFill="1" applyBorder="1" applyAlignment="1">
      <alignment horizontal="right" vertical="top" wrapText="1"/>
    </xf>
    <xf numFmtId="0" fontId="4" fillId="27" borderId="14" xfId="0" applyFont="1" applyFill="1" applyBorder="1">
      <alignment vertical="center"/>
    </xf>
    <xf numFmtId="3" fontId="33" fillId="0" borderId="15" xfId="0" applyNumberFormat="1" applyFont="1" applyBorder="1" applyAlignment="1">
      <alignment horizontal="justify" vertical="top" wrapText="1"/>
    </xf>
    <xf numFmtId="0" fontId="2" fillId="26" borderId="19" xfId="0" applyFont="1" applyFill="1" applyBorder="1" applyAlignment="1">
      <alignment horizontal="justify" vertical="top" wrapText="1"/>
    </xf>
    <xf numFmtId="3" fontId="33" fillId="0" borderId="19" xfId="0" applyNumberFormat="1" applyFont="1" applyBorder="1" applyAlignment="1">
      <alignment horizontal="justify" vertical="top" wrapText="1"/>
    </xf>
    <xf numFmtId="177" fontId="41" fillId="0" borderId="10" xfId="753" applyNumberFormat="1" applyFont="1" applyFill="1" applyBorder="1" applyAlignment="1">
      <alignment horizontal="center" vertical="top" wrapText="1"/>
    </xf>
    <xf numFmtId="177" fontId="33" fillId="0" borderId="10" xfId="753" applyNumberFormat="1" applyFont="1" applyFill="1" applyBorder="1" applyAlignment="1">
      <alignment horizontal="center" vertical="top" wrapText="1"/>
    </xf>
    <xf numFmtId="0" fontId="33" fillId="0" borderId="10" xfId="0" applyFont="1" applyBorder="1" applyAlignment="1">
      <alignment horizontal="center" vertical="top" wrapText="1"/>
    </xf>
    <xf numFmtId="0" fontId="6" fillId="0" borderId="10" xfId="0" applyFont="1" applyBorder="1" applyAlignment="1">
      <alignment horizontal="justify" vertical="top" wrapText="1"/>
    </xf>
    <xf numFmtId="0" fontId="41" fillId="0" borderId="10" xfId="0" applyFont="1" applyBorder="1" applyAlignment="1">
      <alignment horizontal="center" vertical="top" wrapText="1"/>
    </xf>
    <xf numFmtId="49" fontId="41" fillId="0" borderId="10" xfId="0" applyNumberFormat="1" applyFont="1" applyBorder="1" applyAlignment="1">
      <alignment horizontal="center" vertical="top" wrapText="1"/>
    </xf>
    <xf numFmtId="0" fontId="6" fillId="25" borderId="10" xfId="0" applyFont="1" applyFill="1" applyBorder="1" applyAlignment="1">
      <alignment horizontal="center" vertical="top" wrapText="1"/>
    </xf>
    <xf numFmtId="0" fontId="7" fillId="25" borderId="10" xfId="0" applyFont="1" applyFill="1" applyBorder="1" applyAlignment="1">
      <alignment horizontal="center" vertical="top" wrapText="1"/>
    </xf>
    <xf numFmtId="0" fontId="7" fillId="0" borderId="10" xfId="0" applyFont="1" applyBorder="1" applyAlignment="1">
      <alignment horizontal="center" vertical="top" wrapText="1"/>
    </xf>
    <xf numFmtId="0" fontId="33" fillId="0" borderId="10" xfId="0" applyFont="1" applyBorder="1" applyAlignment="1">
      <alignment horizontal="justify" vertical="top" wrapText="1"/>
    </xf>
    <xf numFmtId="49" fontId="6" fillId="0" borderId="10" xfId="0" applyNumberFormat="1" applyFont="1" applyBorder="1" applyAlignment="1">
      <alignment horizontal="justify" vertical="top" wrapText="1"/>
    </xf>
    <xf numFmtId="0" fontId="43" fillId="0" borderId="10" xfId="0" applyFont="1" applyBorder="1" applyAlignment="1">
      <alignment horizontal="center" vertical="top" wrapText="1"/>
    </xf>
    <xf numFmtId="177" fontId="33" fillId="0" borderId="10" xfId="692" applyNumberFormat="1" applyFont="1" applyFill="1" applyBorder="1" applyAlignment="1">
      <alignment horizontal="center" vertical="top" wrapText="1"/>
    </xf>
    <xf numFmtId="0" fontId="5" fillId="27" borderId="15" xfId="0" applyFont="1" applyFill="1" applyBorder="1">
      <alignment vertical="center"/>
    </xf>
    <xf numFmtId="0" fontId="5" fillId="27" borderId="12" xfId="0" applyFont="1" applyFill="1" applyBorder="1">
      <alignment vertical="center"/>
    </xf>
    <xf numFmtId="0" fontId="5" fillId="27" borderId="14" xfId="0" applyFont="1" applyFill="1" applyBorder="1">
      <alignment vertical="center"/>
    </xf>
    <xf numFmtId="3" fontId="33" fillId="25" borderId="10" xfId="0" applyNumberFormat="1" applyFont="1" applyFill="1" applyBorder="1" applyAlignment="1">
      <alignment horizontal="right" vertical="center" wrapText="1"/>
    </xf>
    <xf numFmtId="9" fontId="33" fillId="25" borderId="10" xfId="1972" applyFont="1" applyFill="1" applyBorder="1" applyAlignment="1">
      <alignment horizontal="right" vertical="center" wrapText="1"/>
    </xf>
    <xf numFmtId="0" fontId="43" fillId="25" borderId="13" xfId="0" applyFont="1" applyFill="1" applyBorder="1" applyAlignment="1">
      <alignment horizontal="center" vertical="top" wrapText="1"/>
    </xf>
    <xf numFmtId="3" fontId="40" fillId="0" borderId="15" xfId="0" applyNumberFormat="1" applyFont="1" applyBorder="1" applyAlignment="1">
      <alignment horizontal="justify" vertical="top" wrapText="1"/>
    </xf>
    <xf numFmtId="0" fontId="35" fillId="0" borderId="10" xfId="0" applyFont="1" applyBorder="1" applyAlignment="1">
      <alignment horizontal="center" vertical="center" wrapText="1"/>
    </xf>
    <xf numFmtId="0" fontId="40" fillId="25" borderId="13" xfId="0" applyFont="1" applyFill="1" applyBorder="1" applyAlignment="1">
      <alignment horizontal="center" vertical="top" wrapText="1"/>
    </xf>
    <xf numFmtId="0" fontId="6" fillId="28" borderId="10" xfId="0" applyFont="1" applyFill="1" applyBorder="1" applyAlignment="1">
      <alignment horizontal="justify" vertical="top" wrapText="1"/>
    </xf>
    <xf numFmtId="3" fontId="6" fillId="28" borderId="10" xfId="0" applyNumberFormat="1" applyFont="1" applyFill="1" applyBorder="1" applyAlignment="1">
      <alignment horizontal="right" vertical="top" wrapText="1"/>
    </xf>
    <xf numFmtId="3" fontId="6" fillId="28" borderId="10" xfId="0" applyNumberFormat="1" applyFont="1" applyFill="1" applyBorder="1" applyAlignment="1">
      <alignment horizontal="center" vertical="top" wrapText="1"/>
    </xf>
    <xf numFmtId="0" fontId="6" fillId="28" borderId="26" xfId="0" applyFont="1" applyFill="1" applyBorder="1" applyAlignment="1">
      <alignment horizontal="justify" vertical="top" wrapText="1"/>
    </xf>
    <xf numFmtId="3" fontId="50" fillId="28" borderId="19" xfId="0" applyNumberFormat="1" applyFont="1" applyFill="1" applyBorder="1" applyAlignment="1">
      <alignment horizontal="justify" vertical="top" wrapText="1"/>
    </xf>
    <xf numFmtId="49" fontId="50" fillId="28" borderId="10" xfId="0" applyNumberFormat="1" applyFont="1" applyFill="1" applyBorder="1" applyAlignment="1">
      <alignment horizontal="center" vertical="top" wrapText="1"/>
    </xf>
    <xf numFmtId="0" fontId="50" fillId="28" borderId="10" xfId="0" applyFont="1" applyFill="1" applyBorder="1" applyAlignment="1">
      <alignment horizontal="center" vertical="top" wrapText="1"/>
    </xf>
    <xf numFmtId="177" fontId="50" fillId="28" borderId="10" xfId="691" applyNumberFormat="1" applyFont="1" applyFill="1" applyBorder="1" applyAlignment="1">
      <alignment horizontal="center" vertical="top" wrapText="1"/>
    </xf>
    <xf numFmtId="0" fontId="50" fillId="28" borderId="15" xfId="0" applyFont="1" applyFill="1" applyBorder="1" applyAlignment="1">
      <alignment horizontal="justify" vertical="top" wrapText="1"/>
    </xf>
    <xf numFmtId="0" fontId="51" fillId="28" borderId="10" xfId="0" applyFont="1" applyFill="1" applyBorder="1" applyAlignment="1">
      <alignment horizontal="justify" vertical="top" wrapText="1"/>
    </xf>
    <xf numFmtId="0" fontId="4" fillId="0" borderId="10" xfId="0" applyFont="1" applyBorder="1" applyAlignment="1">
      <alignment horizontal="center" vertical="center" wrapText="1"/>
    </xf>
    <xf numFmtId="0" fontId="4" fillId="27" borderId="10" xfId="0" applyFont="1" applyFill="1" applyBorder="1" applyAlignment="1">
      <alignment horizontal="left" vertical="center"/>
    </xf>
    <xf numFmtId="0" fontId="4" fillId="27" borderId="10" xfId="0" applyFont="1" applyFill="1" applyBorder="1" applyAlignment="1">
      <alignment horizontal="left" vertical="top"/>
    </xf>
    <xf numFmtId="0" fontId="4" fillId="27" borderId="10" xfId="0" applyFont="1" applyFill="1" applyBorder="1">
      <alignment vertical="center"/>
    </xf>
    <xf numFmtId="0" fontId="5" fillId="27" borderId="10" xfId="0" applyFont="1" applyFill="1" applyBorder="1">
      <alignment vertical="center"/>
    </xf>
    <xf numFmtId="0" fontId="43" fillId="0" borderId="10" xfId="0" applyFont="1" applyBorder="1" applyAlignment="1">
      <alignment horizontal="justify" vertical="top" wrapText="1"/>
    </xf>
    <xf numFmtId="9" fontId="41" fillId="25" borderId="10" xfId="1972" applyFont="1" applyFill="1" applyBorder="1" applyAlignment="1">
      <alignment horizontal="right" vertical="top" wrapText="1"/>
    </xf>
    <xf numFmtId="3" fontId="7" fillId="0" borderId="15" xfId="0" applyNumberFormat="1" applyFont="1" applyBorder="1" applyAlignment="1">
      <alignment horizontal="justify" vertical="top" wrapText="1"/>
    </xf>
    <xf numFmtId="0" fontId="6" fillId="0" borderId="10" xfId="0" applyFont="1" applyBorder="1" applyAlignment="1">
      <alignment horizontal="center" vertical="top" wrapText="1"/>
    </xf>
    <xf numFmtId="176" fontId="6" fillId="0" borderId="10" xfId="689" applyNumberFormat="1" applyFont="1" applyFill="1" applyBorder="1" applyAlignment="1">
      <alignment horizontal="right" vertical="top" wrapText="1"/>
    </xf>
    <xf numFmtId="3" fontId="33" fillId="0" borderId="10" xfId="0" applyNumberFormat="1" applyFont="1" applyBorder="1" applyAlignment="1">
      <alignment horizontal="right" vertical="top" wrapText="1"/>
    </xf>
    <xf numFmtId="9" fontId="41" fillId="0" borderId="10" xfId="1972" applyFont="1" applyFill="1" applyBorder="1" applyAlignment="1">
      <alignment horizontal="right" vertical="top" wrapText="1"/>
    </xf>
    <xf numFmtId="0" fontId="33" fillId="25" borderId="10" xfId="0" applyFont="1" applyFill="1" applyBorder="1" applyAlignment="1">
      <alignment horizontal="center" vertical="top" wrapText="1"/>
    </xf>
    <xf numFmtId="0" fontId="56" fillId="25" borderId="10"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vertical="top" wrapText="1" indent="3"/>
    </xf>
    <xf numFmtId="0" fontId="4" fillId="27" borderId="15" xfId="0" applyFont="1" applyFill="1" applyBorder="1" applyAlignment="1">
      <alignment horizontal="left" vertical="center"/>
    </xf>
    <xf numFmtId="0" fontId="4" fillId="27" borderId="12" xfId="0" applyFont="1" applyFill="1" applyBorder="1" applyAlignment="1">
      <alignment horizontal="left" vertical="center"/>
    </xf>
    <xf numFmtId="0" fontId="4" fillId="27" borderId="15" xfId="0" applyFont="1" applyFill="1" applyBorder="1" applyAlignment="1">
      <alignment horizontal="center" vertical="center" wrapText="1"/>
    </xf>
    <xf numFmtId="0" fontId="4" fillId="27" borderId="12" xfId="0" applyFont="1" applyFill="1" applyBorder="1" applyAlignment="1">
      <alignment horizontal="center" vertical="center" wrapText="1"/>
    </xf>
    <xf numFmtId="0" fontId="4" fillId="27" borderId="14" xfId="0" applyFont="1" applyFill="1" applyBorder="1" applyAlignment="1">
      <alignment horizontal="center" vertical="center" wrapText="1"/>
    </xf>
    <xf numFmtId="0" fontId="6" fillId="28" borderId="15" xfId="0" applyFont="1" applyFill="1" applyBorder="1" applyAlignment="1">
      <alignment vertical="top" wrapText="1"/>
    </xf>
    <xf numFmtId="0" fontId="6" fillId="28" borderId="12" xfId="0" applyFont="1" applyFill="1" applyBorder="1" applyAlignment="1">
      <alignment vertical="top" wrapText="1"/>
    </xf>
    <xf numFmtId="0" fontId="6" fillId="28" borderId="14" xfId="0" applyFont="1" applyFill="1" applyBorder="1" applyAlignment="1">
      <alignment vertical="top" wrapText="1"/>
    </xf>
    <xf numFmtId="0" fontId="6" fillId="28" borderId="21" xfId="0" applyFont="1" applyFill="1" applyBorder="1" applyAlignment="1">
      <alignment vertical="top" wrapText="1"/>
    </xf>
    <xf numFmtId="0" fontId="6" fillId="28" borderId="27" xfId="0" applyFont="1" applyFill="1" applyBorder="1" applyAlignment="1">
      <alignment vertical="top" wrapText="1"/>
    </xf>
    <xf numFmtId="0" fontId="6" fillId="28" borderId="28" xfId="0" applyFont="1" applyFill="1" applyBorder="1" applyAlignment="1">
      <alignment vertical="top" wrapText="1"/>
    </xf>
    <xf numFmtId="0" fontId="4" fillId="26" borderId="10" xfId="0" applyFont="1" applyFill="1" applyBorder="1" applyAlignment="1">
      <alignment horizontal="center" vertical="center"/>
    </xf>
    <xf numFmtId="0" fontId="4" fillId="26" borderId="15" xfId="0" applyFont="1" applyFill="1" applyBorder="1" applyAlignment="1">
      <alignment horizontal="center" vertical="center" wrapText="1"/>
    </xf>
    <xf numFmtId="0" fontId="4" fillId="26" borderId="12" xfId="0" applyFont="1" applyFill="1" applyBorder="1" applyAlignment="1">
      <alignment horizontal="center" vertical="center" wrapText="1"/>
    </xf>
    <xf numFmtId="0" fontId="4" fillId="26" borderId="1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0" xfId="0" applyFont="1" applyBorder="1" applyAlignment="1">
      <alignment horizontal="center" vertical="center" wrapText="1"/>
    </xf>
    <xf numFmtId="176" fontId="4" fillId="0" borderId="20" xfId="0" applyNumberFormat="1" applyFont="1" applyBorder="1" applyAlignment="1">
      <alignment horizontal="center" vertical="center" wrapText="1"/>
    </xf>
    <xf numFmtId="176" fontId="4" fillId="0" borderId="23" xfId="0" applyNumberFormat="1" applyFont="1" applyBorder="1" applyAlignment="1">
      <alignment horizontal="center" vertical="center" wrapText="1"/>
    </xf>
    <xf numFmtId="176" fontId="4" fillId="0" borderId="13" xfId="0" applyNumberFormat="1" applyFont="1" applyBorder="1" applyAlignment="1">
      <alignment horizontal="center" vertical="center" wrapText="1"/>
    </xf>
    <xf numFmtId="176" fontId="4" fillId="0" borderId="15" xfId="0" applyNumberFormat="1" applyFont="1" applyBorder="1" applyAlignment="1">
      <alignment horizontal="center" vertical="center" wrapText="1"/>
    </xf>
    <xf numFmtId="176" fontId="4" fillId="0" borderId="14" xfId="0" applyNumberFormat="1" applyFont="1" applyBorder="1" applyAlignment="1">
      <alignment horizontal="center" vertical="center" wrapText="1"/>
    </xf>
    <xf numFmtId="176" fontId="4" fillId="0" borderId="10" xfId="0" applyNumberFormat="1" applyFont="1" applyBorder="1" applyAlignment="1">
      <alignment horizontal="center" vertical="center" wrapText="1"/>
    </xf>
    <xf numFmtId="0" fontId="4" fillId="0" borderId="13" xfId="0" applyFont="1" applyBorder="1" applyAlignment="1">
      <alignment horizontal="center" vertical="center" wrapText="1"/>
    </xf>
    <xf numFmtId="0" fontId="49" fillId="0" borderId="21" xfId="0" applyFont="1" applyBorder="1" applyAlignment="1">
      <alignment horizontal="center" vertical="center" wrapText="1"/>
    </xf>
    <xf numFmtId="0" fontId="49" fillId="0" borderId="16" xfId="0" applyFont="1" applyBorder="1" applyAlignment="1">
      <alignment horizontal="center" vertical="center" wrapText="1"/>
    </xf>
    <xf numFmtId="0" fontId="30" fillId="0" borderId="0" xfId="0" applyFont="1" applyAlignment="1">
      <alignment horizontal="center" vertical="center" wrapText="1"/>
    </xf>
    <xf numFmtId="0" fontId="6" fillId="0" borderId="11" xfId="0" applyFont="1" applyBorder="1" applyAlignment="1">
      <alignment horizontal="right" vertical="top" wrapText="1"/>
    </xf>
    <xf numFmtId="0" fontId="4" fillId="0" borderId="23" xfId="0" applyFont="1" applyBorder="1" applyAlignment="1">
      <alignment horizontal="center" vertical="center" wrapText="1"/>
    </xf>
    <xf numFmtId="176" fontId="4" fillId="0" borderId="12" xfId="0" applyNumberFormat="1" applyFont="1" applyBorder="1" applyAlignment="1">
      <alignment horizontal="center" vertical="center" wrapText="1"/>
    </xf>
    <xf numFmtId="176" fontId="4" fillId="0" borderId="21" xfId="0" applyNumberFormat="1" applyFont="1" applyBorder="1" applyAlignment="1">
      <alignment horizontal="center" vertical="center" wrapText="1"/>
    </xf>
    <xf numFmtId="176" fontId="4" fillId="0" borderId="22" xfId="0" applyNumberFormat="1" applyFont="1" applyBorder="1" applyAlignment="1">
      <alignment horizontal="center" vertical="center" wrapText="1"/>
    </xf>
    <xf numFmtId="176" fontId="4" fillId="0" borderId="16" xfId="0" applyNumberFormat="1" applyFont="1" applyBorder="1" applyAlignment="1">
      <alignment horizontal="center" vertical="center" wrapText="1"/>
    </xf>
    <xf numFmtId="176" fontId="4" fillId="0" borderId="24" xfId="0" applyNumberFormat="1" applyFont="1" applyBorder="1" applyAlignment="1">
      <alignment horizontal="center" vertical="center" wrapText="1"/>
    </xf>
    <xf numFmtId="176" fontId="4" fillId="0" borderId="25" xfId="0" applyNumberFormat="1" applyFont="1" applyBorder="1" applyAlignment="1">
      <alignment horizontal="center" vertical="center" wrapText="1"/>
    </xf>
    <xf numFmtId="176" fontId="4" fillId="0" borderId="18" xfId="0" applyNumberFormat="1" applyFont="1" applyBorder="1" applyAlignment="1">
      <alignment horizontal="center" vertical="center" wrapText="1"/>
    </xf>
    <xf numFmtId="0" fontId="53" fillId="27" borderId="15" xfId="0" applyFont="1" applyFill="1" applyBorder="1" applyAlignment="1">
      <alignment horizontal="center" vertical="center" wrapText="1"/>
    </xf>
    <xf numFmtId="0" fontId="4" fillId="27" borderId="10" xfId="0" applyFont="1" applyFill="1" applyBorder="1" applyAlignment="1">
      <alignment horizontal="left" vertical="center"/>
    </xf>
    <xf numFmtId="0" fontId="6" fillId="28" borderId="10" xfId="0" applyFont="1" applyFill="1" applyBorder="1" applyAlignment="1">
      <alignment vertical="top" wrapText="1"/>
    </xf>
    <xf numFmtId="0" fontId="5" fillId="27" borderId="10" xfId="0" applyFont="1" applyFill="1" applyBorder="1" applyAlignment="1">
      <alignment horizontal="left" vertical="center"/>
    </xf>
    <xf numFmtId="0" fontId="53" fillId="0" borderId="10" xfId="0" applyFont="1" applyBorder="1" applyAlignment="1">
      <alignment horizontal="center" vertical="center" wrapText="1"/>
    </xf>
    <xf numFmtId="176" fontId="5" fillId="0" borderId="21" xfId="0" applyNumberFormat="1" applyFont="1" applyBorder="1" applyAlignment="1">
      <alignment horizontal="center" vertical="center" wrapText="1"/>
    </xf>
    <xf numFmtId="0" fontId="5" fillId="0" borderId="20"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3" xfId="0" applyFont="1" applyBorder="1" applyAlignment="1">
      <alignment horizontal="center" vertical="center" wrapText="1"/>
    </xf>
    <xf numFmtId="176" fontId="5" fillId="0" borderId="20" xfId="0" applyNumberFormat="1" applyFont="1" applyBorder="1" applyAlignment="1">
      <alignment horizontal="center" vertical="center" wrapText="1"/>
    </xf>
    <xf numFmtId="176" fontId="5" fillId="0" borderId="23" xfId="0" applyNumberFormat="1" applyFont="1" applyBorder="1" applyAlignment="1">
      <alignment horizontal="center" vertical="center" wrapText="1"/>
    </xf>
    <xf numFmtId="176" fontId="5" fillId="0" borderId="13" xfId="0" applyNumberFormat="1" applyFont="1" applyBorder="1" applyAlignment="1">
      <alignment horizontal="center" vertical="center" wrapText="1"/>
    </xf>
    <xf numFmtId="176" fontId="5" fillId="0" borderId="15" xfId="0" applyNumberFormat="1" applyFont="1" applyBorder="1" applyAlignment="1">
      <alignment horizontal="center" vertical="center" wrapText="1"/>
    </xf>
    <xf numFmtId="176" fontId="5" fillId="0" borderId="12" xfId="0" applyNumberFormat="1" applyFont="1" applyBorder="1" applyAlignment="1">
      <alignment horizontal="center" vertical="center" wrapText="1"/>
    </xf>
    <xf numFmtId="176" fontId="5" fillId="0" borderId="14" xfId="0" applyNumberFormat="1" applyFont="1" applyBorder="1" applyAlignment="1">
      <alignment horizontal="center" vertical="center" wrapText="1"/>
    </xf>
    <xf numFmtId="0" fontId="5" fillId="27" borderId="15" xfId="0" applyFont="1" applyFill="1" applyBorder="1" applyAlignment="1">
      <alignment horizontal="left" vertical="center"/>
    </xf>
    <xf numFmtId="0" fontId="5" fillId="27" borderId="12" xfId="0" applyFont="1" applyFill="1" applyBorder="1" applyAlignment="1">
      <alignment horizontal="left" vertical="center"/>
    </xf>
    <xf numFmtId="176" fontId="5" fillId="0" borderId="10" xfId="0" applyNumberFormat="1" applyFont="1" applyBorder="1" applyAlignment="1">
      <alignment horizontal="center" vertical="center" wrapText="1"/>
    </xf>
    <xf numFmtId="0" fontId="5" fillId="26" borderId="15" xfId="0" applyFont="1" applyFill="1" applyBorder="1" applyAlignment="1">
      <alignment horizontal="center" vertical="center" wrapText="1"/>
    </xf>
    <xf numFmtId="0" fontId="39" fillId="26" borderId="12" xfId="0" applyFont="1" applyFill="1" applyBorder="1" applyAlignment="1">
      <alignment horizontal="center" vertical="center" wrapText="1"/>
    </xf>
    <xf numFmtId="0" fontId="39" fillId="26" borderId="14" xfId="0" applyFont="1" applyFill="1" applyBorder="1" applyAlignment="1">
      <alignment horizontal="center" vertical="center" wrapText="1"/>
    </xf>
    <xf numFmtId="0" fontId="5" fillId="27" borderId="15" xfId="0" applyFont="1" applyFill="1" applyBorder="1" applyAlignment="1">
      <alignment horizontal="center" vertical="center" wrapText="1"/>
    </xf>
    <xf numFmtId="0" fontId="39" fillId="27" borderId="12" xfId="0" applyFont="1" applyFill="1" applyBorder="1" applyAlignment="1">
      <alignment horizontal="center" vertical="center" wrapText="1"/>
    </xf>
    <xf numFmtId="0" fontId="39" fillId="27" borderId="14" xfId="0" applyFont="1" applyFill="1" applyBorder="1" applyAlignment="1">
      <alignment horizontal="center" vertical="center" wrapText="1"/>
    </xf>
    <xf numFmtId="0" fontId="5" fillId="0" borderId="10" xfId="0" applyFont="1" applyBorder="1" applyAlignment="1">
      <alignment horizontal="center" vertical="center" wrapText="1"/>
    </xf>
    <xf numFmtId="176" fontId="5" fillId="0" borderId="24" xfId="0" applyNumberFormat="1" applyFont="1" applyBorder="1" applyAlignment="1">
      <alignment horizontal="center" vertical="center" wrapText="1"/>
    </xf>
    <xf numFmtId="176" fontId="5" fillId="0" borderId="25" xfId="0" applyNumberFormat="1" applyFont="1" applyBorder="1" applyAlignment="1">
      <alignment horizontal="center" vertical="center" wrapText="1"/>
    </xf>
    <xf numFmtId="176" fontId="5" fillId="0" borderId="18" xfId="0" applyNumberFormat="1" applyFont="1" applyBorder="1" applyAlignment="1">
      <alignment horizontal="center" vertical="center" wrapText="1"/>
    </xf>
    <xf numFmtId="0" fontId="5"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center" vertical="center" wrapText="1"/>
    </xf>
    <xf numFmtId="0" fontId="38" fillId="0" borderId="21" xfId="0" applyFont="1" applyBorder="1" applyAlignment="1">
      <alignment horizontal="center" vertical="center" wrapText="1"/>
    </xf>
    <xf numFmtId="0" fontId="38" fillId="0" borderId="16" xfId="0" applyFont="1" applyBorder="1" applyAlignment="1">
      <alignment horizontal="center" vertical="center" wrapText="1"/>
    </xf>
    <xf numFmtId="176" fontId="5" fillId="0" borderId="22" xfId="0" applyNumberFormat="1" applyFont="1" applyBorder="1" applyAlignment="1">
      <alignment horizontal="center" vertical="center" wrapText="1"/>
    </xf>
    <xf numFmtId="176" fontId="5" fillId="0" borderId="16" xfId="0" applyNumberFormat="1" applyFont="1" applyBorder="1" applyAlignment="1">
      <alignment horizontal="center" vertical="center" wrapText="1"/>
    </xf>
    <xf numFmtId="0" fontId="53" fillId="26" borderId="15" xfId="0" applyFont="1" applyFill="1" applyBorder="1" applyAlignment="1">
      <alignment horizontal="center" vertical="center" wrapText="1"/>
    </xf>
    <xf numFmtId="0" fontId="6" fillId="26" borderId="10" xfId="0" applyFont="1" applyFill="1" applyBorder="1" applyAlignment="1">
      <alignment horizontal="justify" vertical="top" wrapText="1"/>
    </xf>
    <xf numFmtId="3" fontId="6" fillId="25" borderId="10" xfId="0" applyNumberFormat="1" applyFont="1" applyFill="1" applyBorder="1" applyAlignment="1">
      <alignment horizontal="right" vertical="top" wrapText="1"/>
    </xf>
    <xf numFmtId="9" fontId="6" fillId="25" borderId="10" xfId="1972" applyFont="1" applyFill="1" applyBorder="1" applyAlignment="1">
      <alignment horizontal="right" vertical="top" wrapText="1"/>
    </xf>
    <xf numFmtId="0" fontId="6" fillId="0" borderId="26" xfId="0" applyFont="1" applyBorder="1" applyAlignment="1">
      <alignment horizontal="justify" vertical="top" wrapText="1"/>
    </xf>
    <xf numFmtId="0" fontId="2" fillId="0" borderId="17" xfId="0" applyFont="1" applyBorder="1" applyAlignment="1">
      <alignment horizontal="justify" vertical="top" wrapText="1"/>
    </xf>
    <xf numFmtId="49" fontId="6" fillId="0" borderId="10" xfId="0" applyNumberFormat="1" applyFont="1" applyBorder="1" applyAlignment="1">
      <alignment horizontal="center" vertical="top" wrapText="1"/>
    </xf>
    <xf numFmtId="0" fontId="2" fillId="0" borderId="10" xfId="0" applyFont="1" applyBorder="1" applyAlignment="1">
      <alignment horizontal="justify" vertical="top" wrapText="1"/>
    </xf>
    <xf numFmtId="0" fontId="6" fillId="24" borderId="10" xfId="0" applyFont="1" applyFill="1" applyBorder="1" applyAlignment="1">
      <alignment horizontal="center" vertical="top" wrapText="1"/>
    </xf>
    <xf numFmtId="3" fontId="6" fillId="0" borderId="15" xfId="0" applyNumberFormat="1" applyFont="1" applyBorder="1" applyAlignment="1">
      <alignment vertical="top" wrapText="1"/>
    </xf>
    <xf numFmtId="3" fontId="6" fillId="0" borderId="19" xfId="0" applyNumberFormat="1" applyFont="1" applyBorder="1" applyAlignment="1">
      <alignment horizontal="justify" vertical="top" wrapText="1"/>
    </xf>
    <xf numFmtId="177" fontId="6" fillId="0" borderId="10" xfId="753" applyNumberFormat="1" applyFont="1" applyFill="1" applyBorder="1" applyAlignment="1">
      <alignment horizontal="center" vertical="top" wrapText="1"/>
    </xf>
    <xf numFmtId="0" fontId="4" fillId="0" borderId="10" xfId="0" applyFont="1" applyBorder="1" applyAlignment="1">
      <alignment horizontal="justify" vertical="top" wrapText="1"/>
    </xf>
    <xf numFmtId="0" fontId="51" fillId="0" borderId="0" xfId="0" applyFont="1" applyAlignment="1">
      <alignment vertical="center" wrapText="1"/>
    </xf>
    <xf numFmtId="0" fontId="6" fillId="25" borderId="13" xfId="0" applyFont="1" applyFill="1" applyBorder="1" applyAlignment="1">
      <alignment horizontal="center" vertical="top" wrapText="1"/>
    </xf>
    <xf numFmtId="177" fontId="6" fillId="0" borderId="10" xfId="692" applyNumberFormat="1" applyFont="1" applyFill="1" applyBorder="1" applyAlignment="1">
      <alignment horizontal="center" vertical="top" wrapText="1"/>
    </xf>
    <xf numFmtId="3" fontId="6" fillId="0" borderId="10" xfId="0" applyNumberFormat="1" applyFont="1" applyBorder="1" applyAlignment="1">
      <alignment horizontal="right" vertical="top" wrapText="1"/>
    </xf>
    <xf numFmtId="9" fontId="6" fillId="0" borderId="10" xfId="1972" applyFont="1" applyFill="1" applyBorder="1" applyAlignment="1">
      <alignment horizontal="right" vertical="top" wrapText="1"/>
    </xf>
    <xf numFmtId="3" fontId="4" fillId="0" borderId="15" xfId="0" applyNumberFormat="1" applyFont="1" applyBorder="1" applyAlignment="1">
      <alignment vertical="top" wrapText="1"/>
    </xf>
    <xf numFmtId="3" fontId="4" fillId="0" borderId="10" xfId="0" applyNumberFormat="1" applyFont="1" applyBorder="1" applyAlignment="1">
      <alignment vertical="top" wrapText="1"/>
    </xf>
    <xf numFmtId="3" fontId="4" fillId="0" borderId="10" xfId="0" applyNumberFormat="1" applyFont="1" applyBorder="1" applyAlignment="1">
      <alignment horizontal="justify" vertical="top" wrapText="1"/>
    </xf>
    <xf numFmtId="0" fontId="4" fillId="27" borderId="15" xfId="0" applyFont="1" applyFill="1" applyBorder="1">
      <alignment vertical="center"/>
    </xf>
    <xf numFmtId="0" fontId="4" fillId="27" borderId="12" xfId="0" applyFont="1" applyFill="1" applyBorder="1">
      <alignment vertical="center"/>
    </xf>
    <xf numFmtId="0" fontId="4" fillId="27" borderId="14" xfId="0" applyFont="1" applyFill="1" applyBorder="1">
      <alignment vertical="center"/>
    </xf>
    <xf numFmtId="0" fontId="6" fillId="27" borderId="13" xfId="0" applyFont="1" applyFill="1" applyBorder="1" applyAlignment="1">
      <alignment horizontal="center" vertical="center" wrapText="1"/>
    </xf>
    <xf numFmtId="3" fontId="6" fillId="0" borderId="15" xfId="0" applyNumberFormat="1" applyFont="1" applyBorder="1" applyAlignment="1">
      <alignment horizontal="justify" vertical="top" wrapText="1"/>
    </xf>
    <xf numFmtId="49" fontId="6" fillId="0" borderId="10" xfId="0" applyNumberFormat="1" applyFont="1" applyBorder="1" applyAlignment="1">
      <alignment horizontal="center" vertical="center" wrapText="1"/>
    </xf>
    <xf numFmtId="0" fontId="6" fillId="28" borderId="11" xfId="0" applyFont="1" applyFill="1" applyBorder="1" applyAlignment="1">
      <alignment horizontal="justify" vertical="top" wrapText="1"/>
    </xf>
  </cellXfs>
  <cellStyles count="1996">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ͼͼͼͼͼͼΚΚδδϒϒϨϨϨϨϨϨϨϨϾϾϾϾϾϾϾϾЊЊККККјќѬѬѬѬҀҀҀҀҀҀҀҀҀҀҀ" xfId="19" xr:uid="{00000000-0005-0000-0000-000012000000}"/>
    <cellStyle name="一般" xfId="0" builtinId="0"/>
    <cellStyle name="一般 2" xfId="20" xr:uid="{00000000-0005-0000-0000-000014000000}"/>
    <cellStyle name="一般 3" xfId="21" xr:uid="{00000000-0005-0000-0000-000015000000}"/>
    <cellStyle name="一般 4" xfId="22" xr:uid="{00000000-0005-0000-0000-000016000000}"/>
    <cellStyle name="一般 4 2" xfId="23" xr:uid="{00000000-0005-0000-0000-000017000000}"/>
    <cellStyle name="千分位 10" xfId="24" xr:uid="{00000000-0005-0000-0000-000018000000}"/>
    <cellStyle name="千分位 10 2" xfId="25" xr:uid="{00000000-0005-0000-0000-000019000000}"/>
    <cellStyle name="千分位 10 2 2" xfId="26" xr:uid="{00000000-0005-0000-0000-00001A000000}"/>
    <cellStyle name="千分位 10 2 2 2" xfId="27" xr:uid="{00000000-0005-0000-0000-00001B000000}"/>
    <cellStyle name="千分位 10 2 2 2 2" xfId="28" xr:uid="{00000000-0005-0000-0000-00001C000000}"/>
    <cellStyle name="千分位 10 2 2 2 2 2" xfId="29" xr:uid="{00000000-0005-0000-0000-00001D000000}"/>
    <cellStyle name="千分位 10 2 2 2 3" xfId="30" xr:uid="{00000000-0005-0000-0000-00001E000000}"/>
    <cellStyle name="千分位 10 2 2 3" xfId="31" xr:uid="{00000000-0005-0000-0000-00001F000000}"/>
    <cellStyle name="千分位 10 2 2 3 2" xfId="32" xr:uid="{00000000-0005-0000-0000-000020000000}"/>
    <cellStyle name="千分位 10 2 2 4" xfId="33" xr:uid="{00000000-0005-0000-0000-000021000000}"/>
    <cellStyle name="千分位 10 2 3" xfId="34" xr:uid="{00000000-0005-0000-0000-000022000000}"/>
    <cellStyle name="千分位 10 2 3 2" xfId="35" xr:uid="{00000000-0005-0000-0000-000023000000}"/>
    <cellStyle name="千分位 10 2 3 2 2" xfId="36" xr:uid="{00000000-0005-0000-0000-000024000000}"/>
    <cellStyle name="千分位 10 2 3 2 2 2" xfId="37" xr:uid="{00000000-0005-0000-0000-000025000000}"/>
    <cellStyle name="千分位 10 2 3 2 3" xfId="38" xr:uid="{00000000-0005-0000-0000-000026000000}"/>
    <cellStyle name="千分位 10 2 3 3" xfId="39" xr:uid="{00000000-0005-0000-0000-000027000000}"/>
    <cellStyle name="千分位 10 2 3 3 2" xfId="40" xr:uid="{00000000-0005-0000-0000-000028000000}"/>
    <cellStyle name="千分位 10 2 3 4" xfId="41" xr:uid="{00000000-0005-0000-0000-000029000000}"/>
    <cellStyle name="千分位 10 2 4" xfId="42" xr:uid="{00000000-0005-0000-0000-00002A000000}"/>
    <cellStyle name="千分位 10 2 4 2" xfId="43" xr:uid="{00000000-0005-0000-0000-00002B000000}"/>
    <cellStyle name="千分位 10 2 4 2 2" xfId="44" xr:uid="{00000000-0005-0000-0000-00002C000000}"/>
    <cellStyle name="千分位 10 2 4 3" xfId="45" xr:uid="{00000000-0005-0000-0000-00002D000000}"/>
    <cellStyle name="千分位 10 2 5" xfId="46" xr:uid="{00000000-0005-0000-0000-00002E000000}"/>
    <cellStyle name="千分位 10 2 5 2" xfId="47" xr:uid="{00000000-0005-0000-0000-00002F000000}"/>
    <cellStyle name="千分位 10 2 6" xfId="48" xr:uid="{00000000-0005-0000-0000-000030000000}"/>
    <cellStyle name="千分位 10 3" xfId="49" xr:uid="{00000000-0005-0000-0000-000031000000}"/>
    <cellStyle name="千分位 10 3 2" xfId="50" xr:uid="{00000000-0005-0000-0000-000032000000}"/>
    <cellStyle name="千分位 10 3 2 2" xfId="51" xr:uid="{00000000-0005-0000-0000-000033000000}"/>
    <cellStyle name="千分位 10 3 2 2 2" xfId="52" xr:uid="{00000000-0005-0000-0000-000034000000}"/>
    <cellStyle name="千分位 10 3 2 2 2 2" xfId="53" xr:uid="{00000000-0005-0000-0000-000035000000}"/>
    <cellStyle name="千分位 10 3 2 2 3" xfId="54" xr:uid="{00000000-0005-0000-0000-000036000000}"/>
    <cellStyle name="千分位 10 3 2 3" xfId="55" xr:uid="{00000000-0005-0000-0000-000037000000}"/>
    <cellStyle name="千分位 10 3 2 3 2" xfId="56" xr:uid="{00000000-0005-0000-0000-000038000000}"/>
    <cellStyle name="千分位 10 3 2 4" xfId="57" xr:uid="{00000000-0005-0000-0000-000039000000}"/>
    <cellStyle name="千分位 10 3 3" xfId="58" xr:uid="{00000000-0005-0000-0000-00003A000000}"/>
    <cellStyle name="千分位 10 3 3 2" xfId="59" xr:uid="{00000000-0005-0000-0000-00003B000000}"/>
    <cellStyle name="千分位 10 3 3 2 2" xfId="60" xr:uid="{00000000-0005-0000-0000-00003C000000}"/>
    <cellStyle name="千分位 10 3 3 2 2 2" xfId="61" xr:uid="{00000000-0005-0000-0000-00003D000000}"/>
    <cellStyle name="千分位 10 3 3 2 3" xfId="62" xr:uid="{00000000-0005-0000-0000-00003E000000}"/>
    <cellStyle name="千分位 10 3 3 3" xfId="63" xr:uid="{00000000-0005-0000-0000-00003F000000}"/>
    <cellStyle name="千分位 10 3 3 3 2" xfId="64" xr:uid="{00000000-0005-0000-0000-000040000000}"/>
    <cellStyle name="千分位 10 3 3 4" xfId="65" xr:uid="{00000000-0005-0000-0000-000041000000}"/>
    <cellStyle name="千分位 10 3 4" xfId="66" xr:uid="{00000000-0005-0000-0000-000042000000}"/>
    <cellStyle name="千分位 10 3 4 2" xfId="67" xr:uid="{00000000-0005-0000-0000-000043000000}"/>
    <cellStyle name="千分位 10 3 4 2 2" xfId="68" xr:uid="{00000000-0005-0000-0000-000044000000}"/>
    <cellStyle name="千分位 10 3 4 3" xfId="69" xr:uid="{00000000-0005-0000-0000-000045000000}"/>
    <cellStyle name="千分位 10 3 5" xfId="70" xr:uid="{00000000-0005-0000-0000-000046000000}"/>
    <cellStyle name="千分位 10 3 5 2" xfId="71" xr:uid="{00000000-0005-0000-0000-000047000000}"/>
    <cellStyle name="千分位 10 3 6" xfId="72" xr:uid="{00000000-0005-0000-0000-000048000000}"/>
    <cellStyle name="千分位 10 4" xfId="73" xr:uid="{00000000-0005-0000-0000-000049000000}"/>
    <cellStyle name="千分位 10 4 2" xfId="74" xr:uid="{00000000-0005-0000-0000-00004A000000}"/>
    <cellStyle name="千分位 10 4 2 2" xfId="75" xr:uid="{00000000-0005-0000-0000-00004B000000}"/>
    <cellStyle name="千分位 10 4 2 2 2" xfId="76" xr:uid="{00000000-0005-0000-0000-00004C000000}"/>
    <cellStyle name="千分位 10 4 2 3" xfId="77" xr:uid="{00000000-0005-0000-0000-00004D000000}"/>
    <cellStyle name="千分位 10 4 3" xfId="78" xr:uid="{00000000-0005-0000-0000-00004E000000}"/>
    <cellStyle name="千分位 10 4 3 2" xfId="79" xr:uid="{00000000-0005-0000-0000-00004F000000}"/>
    <cellStyle name="千分位 10 4 4" xfId="80" xr:uid="{00000000-0005-0000-0000-000050000000}"/>
    <cellStyle name="千分位 10 5" xfId="81" xr:uid="{00000000-0005-0000-0000-000051000000}"/>
    <cellStyle name="千分位 10 5 2" xfId="82" xr:uid="{00000000-0005-0000-0000-000052000000}"/>
    <cellStyle name="千分位 10 5 2 2" xfId="83" xr:uid="{00000000-0005-0000-0000-000053000000}"/>
    <cellStyle name="千分位 10 5 2 2 2" xfId="84" xr:uid="{00000000-0005-0000-0000-000054000000}"/>
    <cellStyle name="千分位 10 5 2 3" xfId="85" xr:uid="{00000000-0005-0000-0000-000055000000}"/>
    <cellStyle name="千分位 10 5 3" xfId="86" xr:uid="{00000000-0005-0000-0000-000056000000}"/>
    <cellStyle name="千分位 10 5 3 2" xfId="87" xr:uid="{00000000-0005-0000-0000-000057000000}"/>
    <cellStyle name="千分位 10 5 4" xfId="88" xr:uid="{00000000-0005-0000-0000-000058000000}"/>
    <cellStyle name="千分位 10 6" xfId="89" xr:uid="{00000000-0005-0000-0000-000059000000}"/>
    <cellStyle name="千分位 10 6 2" xfId="90" xr:uid="{00000000-0005-0000-0000-00005A000000}"/>
    <cellStyle name="千分位 10 6 2 2" xfId="91" xr:uid="{00000000-0005-0000-0000-00005B000000}"/>
    <cellStyle name="千分位 10 6 3" xfId="92" xr:uid="{00000000-0005-0000-0000-00005C000000}"/>
    <cellStyle name="千分位 10 7" xfId="93" xr:uid="{00000000-0005-0000-0000-00005D000000}"/>
    <cellStyle name="千分位 10 7 2" xfId="94" xr:uid="{00000000-0005-0000-0000-00005E000000}"/>
    <cellStyle name="千分位 10 8" xfId="95" xr:uid="{00000000-0005-0000-0000-00005F000000}"/>
    <cellStyle name="千分位 11" xfId="96" xr:uid="{00000000-0005-0000-0000-000060000000}"/>
    <cellStyle name="千分位 11 2" xfId="97" xr:uid="{00000000-0005-0000-0000-000061000000}"/>
    <cellStyle name="千分位 11 2 2" xfId="98" xr:uid="{00000000-0005-0000-0000-000062000000}"/>
    <cellStyle name="千分位 11 2 2 2" xfId="99" xr:uid="{00000000-0005-0000-0000-000063000000}"/>
    <cellStyle name="千分位 11 2 2 2 2" xfId="100" xr:uid="{00000000-0005-0000-0000-000064000000}"/>
    <cellStyle name="千分位 11 2 2 2 2 2" xfId="101" xr:uid="{00000000-0005-0000-0000-000065000000}"/>
    <cellStyle name="千分位 11 2 2 2 3" xfId="102" xr:uid="{00000000-0005-0000-0000-000066000000}"/>
    <cellStyle name="千分位 11 2 2 3" xfId="103" xr:uid="{00000000-0005-0000-0000-000067000000}"/>
    <cellStyle name="千分位 11 2 2 3 2" xfId="104" xr:uid="{00000000-0005-0000-0000-000068000000}"/>
    <cellStyle name="千分位 11 2 2 4" xfId="105" xr:uid="{00000000-0005-0000-0000-000069000000}"/>
    <cellStyle name="千分位 11 2 3" xfId="106" xr:uid="{00000000-0005-0000-0000-00006A000000}"/>
    <cellStyle name="千分位 11 2 3 2" xfId="107" xr:uid="{00000000-0005-0000-0000-00006B000000}"/>
    <cellStyle name="千分位 11 2 3 2 2" xfId="108" xr:uid="{00000000-0005-0000-0000-00006C000000}"/>
    <cellStyle name="千分位 11 2 3 2 2 2" xfId="109" xr:uid="{00000000-0005-0000-0000-00006D000000}"/>
    <cellStyle name="千分位 11 2 3 2 3" xfId="110" xr:uid="{00000000-0005-0000-0000-00006E000000}"/>
    <cellStyle name="千分位 11 2 3 3" xfId="111" xr:uid="{00000000-0005-0000-0000-00006F000000}"/>
    <cellStyle name="千分位 11 2 3 3 2" xfId="112" xr:uid="{00000000-0005-0000-0000-000070000000}"/>
    <cellStyle name="千分位 11 2 3 4" xfId="113" xr:uid="{00000000-0005-0000-0000-000071000000}"/>
    <cellStyle name="千分位 11 2 4" xfId="114" xr:uid="{00000000-0005-0000-0000-000072000000}"/>
    <cellStyle name="千分位 11 2 4 2" xfId="115" xr:uid="{00000000-0005-0000-0000-000073000000}"/>
    <cellStyle name="千分位 11 2 4 2 2" xfId="116" xr:uid="{00000000-0005-0000-0000-000074000000}"/>
    <cellStyle name="千分位 11 2 4 3" xfId="117" xr:uid="{00000000-0005-0000-0000-000075000000}"/>
    <cellStyle name="千分位 11 2 5" xfId="118" xr:uid="{00000000-0005-0000-0000-000076000000}"/>
    <cellStyle name="千分位 11 2 5 2" xfId="119" xr:uid="{00000000-0005-0000-0000-000077000000}"/>
    <cellStyle name="千分位 11 2 6" xfId="120" xr:uid="{00000000-0005-0000-0000-000078000000}"/>
    <cellStyle name="千分位 11 3" xfId="121" xr:uid="{00000000-0005-0000-0000-000079000000}"/>
    <cellStyle name="千分位 11 3 2" xfId="122" xr:uid="{00000000-0005-0000-0000-00007A000000}"/>
    <cellStyle name="千分位 11 3 2 2" xfId="123" xr:uid="{00000000-0005-0000-0000-00007B000000}"/>
    <cellStyle name="千分位 11 3 2 2 2" xfId="124" xr:uid="{00000000-0005-0000-0000-00007C000000}"/>
    <cellStyle name="千分位 11 3 2 2 2 2" xfId="125" xr:uid="{00000000-0005-0000-0000-00007D000000}"/>
    <cellStyle name="千分位 11 3 2 2 3" xfId="126" xr:uid="{00000000-0005-0000-0000-00007E000000}"/>
    <cellStyle name="千分位 11 3 2 3" xfId="127" xr:uid="{00000000-0005-0000-0000-00007F000000}"/>
    <cellStyle name="千分位 11 3 2 3 2" xfId="128" xr:uid="{00000000-0005-0000-0000-000080000000}"/>
    <cellStyle name="千分位 11 3 2 4" xfId="129" xr:uid="{00000000-0005-0000-0000-000081000000}"/>
    <cellStyle name="千分位 11 3 3" xfId="130" xr:uid="{00000000-0005-0000-0000-000082000000}"/>
    <cellStyle name="千分位 11 3 3 2" xfId="131" xr:uid="{00000000-0005-0000-0000-000083000000}"/>
    <cellStyle name="千分位 11 3 3 2 2" xfId="132" xr:uid="{00000000-0005-0000-0000-000084000000}"/>
    <cellStyle name="千分位 11 3 3 2 2 2" xfId="133" xr:uid="{00000000-0005-0000-0000-000085000000}"/>
    <cellStyle name="千分位 11 3 3 2 3" xfId="134" xr:uid="{00000000-0005-0000-0000-000086000000}"/>
    <cellStyle name="千分位 11 3 3 3" xfId="135" xr:uid="{00000000-0005-0000-0000-000087000000}"/>
    <cellStyle name="千分位 11 3 3 3 2" xfId="136" xr:uid="{00000000-0005-0000-0000-000088000000}"/>
    <cellStyle name="千分位 11 3 3 4" xfId="137" xr:uid="{00000000-0005-0000-0000-000089000000}"/>
    <cellStyle name="千分位 11 3 4" xfId="138" xr:uid="{00000000-0005-0000-0000-00008A000000}"/>
    <cellStyle name="千分位 11 3 4 2" xfId="139" xr:uid="{00000000-0005-0000-0000-00008B000000}"/>
    <cellStyle name="千分位 11 3 4 2 2" xfId="140" xr:uid="{00000000-0005-0000-0000-00008C000000}"/>
    <cellStyle name="千分位 11 3 4 3" xfId="141" xr:uid="{00000000-0005-0000-0000-00008D000000}"/>
    <cellStyle name="千分位 11 3 5" xfId="142" xr:uid="{00000000-0005-0000-0000-00008E000000}"/>
    <cellStyle name="千分位 11 3 5 2" xfId="143" xr:uid="{00000000-0005-0000-0000-00008F000000}"/>
    <cellStyle name="千分位 11 3 6" xfId="144" xr:uid="{00000000-0005-0000-0000-000090000000}"/>
    <cellStyle name="千分位 11 4" xfId="145" xr:uid="{00000000-0005-0000-0000-000091000000}"/>
    <cellStyle name="千分位 11 4 2" xfId="146" xr:uid="{00000000-0005-0000-0000-000092000000}"/>
    <cellStyle name="千分位 11 4 2 2" xfId="147" xr:uid="{00000000-0005-0000-0000-000093000000}"/>
    <cellStyle name="千分位 11 4 2 2 2" xfId="148" xr:uid="{00000000-0005-0000-0000-000094000000}"/>
    <cellStyle name="千分位 11 4 2 3" xfId="149" xr:uid="{00000000-0005-0000-0000-000095000000}"/>
    <cellStyle name="千分位 11 4 3" xfId="150" xr:uid="{00000000-0005-0000-0000-000096000000}"/>
    <cellStyle name="千分位 11 4 3 2" xfId="151" xr:uid="{00000000-0005-0000-0000-000097000000}"/>
    <cellStyle name="千分位 11 4 4" xfId="152" xr:uid="{00000000-0005-0000-0000-000098000000}"/>
    <cellStyle name="千分位 11 5" xfId="153" xr:uid="{00000000-0005-0000-0000-000099000000}"/>
    <cellStyle name="千分位 11 5 2" xfId="154" xr:uid="{00000000-0005-0000-0000-00009A000000}"/>
    <cellStyle name="千分位 11 5 2 2" xfId="155" xr:uid="{00000000-0005-0000-0000-00009B000000}"/>
    <cellStyle name="千分位 11 5 2 2 2" xfId="156" xr:uid="{00000000-0005-0000-0000-00009C000000}"/>
    <cellStyle name="千分位 11 5 2 3" xfId="157" xr:uid="{00000000-0005-0000-0000-00009D000000}"/>
    <cellStyle name="千分位 11 5 3" xfId="158" xr:uid="{00000000-0005-0000-0000-00009E000000}"/>
    <cellStyle name="千分位 11 5 3 2" xfId="159" xr:uid="{00000000-0005-0000-0000-00009F000000}"/>
    <cellStyle name="千分位 11 5 4" xfId="160" xr:uid="{00000000-0005-0000-0000-0000A0000000}"/>
    <cellStyle name="千分位 11 6" xfId="161" xr:uid="{00000000-0005-0000-0000-0000A1000000}"/>
    <cellStyle name="千分位 11 6 2" xfId="162" xr:uid="{00000000-0005-0000-0000-0000A2000000}"/>
    <cellStyle name="千分位 11 6 2 2" xfId="163" xr:uid="{00000000-0005-0000-0000-0000A3000000}"/>
    <cellStyle name="千分位 11 6 3" xfId="164" xr:uid="{00000000-0005-0000-0000-0000A4000000}"/>
    <cellStyle name="千分位 11 7" xfId="165" xr:uid="{00000000-0005-0000-0000-0000A5000000}"/>
    <cellStyle name="千分位 11 7 2" xfId="166" xr:uid="{00000000-0005-0000-0000-0000A6000000}"/>
    <cellStyle name="千分位 11 8" xfId="167" xr:uid="{00000000-0005-0000-0000-0000A7000000}"/>
    <cellStyle name="千分位 2" xfId="168" xr:uid="{00000000-0005-0000-0000-0000A8000000}"/>
    <cellStyle name="千分位 3" xfId="169" xr:uid="{00000000-0005-0000-0000-0000A9000000}"/>
    <cellStyle name="千分位 3 10" xfId="170" xr:uid="{00000000-0005-0000-0000-0000AA000000}"/>
    <cellStyle name="千分位 3 10 2" xfId="171" xr:uid="{00000000-0005-0000-0000-0000AB000000}"/>
    <cellStyle name="千分位 3 10 2 2" xfId="172" xr:uid="{00000000-0005-0000-0000-0000AC000000}"/>
    <cellStyle name="千分位 3 10 2 2 2" xfId="173" xr:uid="{00000000-0005-0000-0000-0000AD000000}"/>
    <cellStyle name="千分位 3 10 2 3" xfId="174" xr:uid="{00000000-0005-0000-0000-0000AE000000}"/>
    <cellStyle name="千分位 3 10 3" xfId="175" xr:uid="{00000000-0005-0000-0000-0000AF000000}"/>
    <cellStyle name="千分位 3 10 3 2" xfId="176" xr:uid="{00000000-0005-0000-0000-0000B0000000}"/>
    <cellStyle name="千分位 3 10 4" xfId="177" xr:uid="{00000000-0005-0000-0000-0000B1000000}"/>
    <cellStyle name="千分位 3 11" xfId="178" xr:uid="{00000000-0005-0000-0000-0000B2000000}"/>
    <cellStyle name="千分位 3 11 2" xfId="179" xr:uid="{00000000-0005-0000-0000-0000B3000000}"/>
    <cellStyle name="千分位 3 11 2 2" xfId="180" xr:uid="{00000000-0005-0000-0000-0000B4000000}"/>
    <cellStyle name="千分位 3 11 3" xfId="181" xr:uid="{00000000-0005-0000-0000-0000B5000000}"/>
    <cellStyle name="千分位 3 12" xfId="182" xr:uid="{00000000-0005-0000-0000-0000B6000000}"/>
    <cellStyle name="千分位 3 12 2" xfId="183" xr:uid="{00000000-0005-0000-0000-0000B7000000}"/>
    <cellStyle name="千分位 3 13" xfId="184" xr:uid="{00000000-0005-0000-0000-0000B8000000}"/>
    <cellStyle name="千分位 3 2" xfId="185" xr:uid="{00000000-0005-0000-0000-0000B9000000}"/>
    <cellStyle name="千分位 3 2 10" xfId="186" xr:uid="{00000000-0005-0000-0000-0000BA000000}"/>
    <cellStyle name="千分位 3 2 2" xfId="187" xr:uid="{00000000-0005-0000-0000-0000BB000000}"/>
    <cellStyle name="千分位 3 2 2 10" xfId="188" xr:uid="{00000000-0005-0000-0000-0000BC000000}"/>
    <cellStyle name="千分位 3 2 2 2" xfId="189" xr:uid="{00000000-0005-0000-0000-0000BD000000}"/>
    <cellStyle name="千分位 3 2 2 2 2" xfId="190" xr:uid="{00000000-0005-0000-0000-0000BE000000}"/>
    <cellStyle name="千分位 3 2 2 2 2 2" xfId="191" xr:uid="{00000000-0005-0000-0000-0000BF000000}"/>
    <cellStyle name="千分位 3 2 2 2 2 2 2" xfId="192" xr:uid="{00000000-0005-0000-0000-0000C0000000}"/>
    <cellStyle name="千分位 3 2 2 2 2 2 2 2" xfId="193" xr:uid="{00000000-0005-0000-0000-0000C1000000}"/>
    <cellStyle name="千分位 3 2 2 2 2 2 2 2 2" xfId="194" xr:uid="{00000000-0005-0000-0000-0000C2000000}"/>
    <cellStyle name="千分位 3 2 2 2 2 2 2 3" xfId="195" xr:uid="{00000000-0005-0000-0000-0000C3000000}"/>
    <cellStyle name="千分位 3 2 2 2 2 2 3" xfId="196" xr:uid="{00000000-0005-0000-0000-0000C4000000}"/>
    <cellStyle name="千分位 3 2 2 2 2 2 3 2" xfId="197" xr:uid="{00000000-0005-0000-0000-0000C5000000}"/>
    <cellStyle name="千分位 3 2 2 2 2 2 4" xfId="198" xr:uid="{00000000-0005-0000-0000-0000C6000000}"/>
    <cellStyle name="千分位 3 2 2 2 2 3" xfId="199" xr:uid="{00000000-0005-0000-0000-0000C7000000}"/>
    <cellStyle name="千分位 3 2 2 2 2 3 2" xfId="200" xr:uid="{00000000-0005-0000-0000-0000C8000000}"/>
    <cellStyle name="千分位 3 2 2 2 2 3 2 2" xfId="201" xr:uid="{00000000-0005-0000-0000-0000C9000000}"/>
    <cellStyle name="千分位 3 2 2 2 2 3 2 2 2" xfId="202" xr:uid="{00000000-0005-0000-0000-0000CA000000}"/>
    <cellStyle name="千分位 3 2 2 2 2 3 2 3" xfId="203" xr:uid="{00000000-0005-0000-0000-0000CB000000}"/>
    <cellStyle name="千分位 3 2 2 2 2 3 3" xfId="204" xr:uid="{00000000-0005-0000-0000-0000CC000000}"/>
    <cellStyle name="千分位 3 2 2 2 2 3 3 2" xfId="205" xr:uid="{00000000-0005-0000-0000-0000CD000000}"/>
    <cellStyle name="千分位 3 2 2 2 2 3 4" xfId="206" xr:uid="{00000000-0005-0000-0000-0000CE000000}"/>
    <cellStyle name="千分位 3 2 2 2 2 4" xfId="207" xr:uid="{00000000-0005-0000-0000-0000CF000000}"/>
    <cellStyle name="千分位 3 2 2 2 2 4 2" xfId="208" xr:uid="{00000000-0005-0000-0000-0000D0000000}"/>
    <cellStyle name="千分位 3 2 2 2 2 4 2 2" xfId="209" xr:uid="{00000000-0005-0000-0000-0000D1000000}"/>
    <cellStyle name="千分位 3 2 2 2 2 4 3" xfId="210" xr:uid="{00000000-0005-0000-0000-0000D2000000}"/>
    <cellStyle name="千分位 3 2 2 2 2 5" xfId="211" xr:uid="{00000000-0005-0000-0000-0000D3000000}"/>
    <cellStyle name="千分位 3 2 2 2 2 5 2" xfId="212" xr:uid="{00000000-0005-0000-0000-0000D4000000}"/>
    <cellStyle name="千分位 3 2 2 2 2 6" xfId="213" xr:uid="{00000000-0005-0000-0000-0000D5000000}"/>
    <cellStyle name="千分位 3 2 2 2 3" xfId="214" xr:uid="{00000000-0005-0000-0000-0000D6000000}"/>
    <cellStyle name="千分位 3 2 2 2 3 2" xfId="215" xr:uid="{00000000-0005-0000-0000-0000D7000000}"/>
    <cellStyle name="千分位 3 2 2 2 3 2 2" xfId="216" xr:uid="{00000000-0005-0000-0000-0000D8000000}"/>
    <cellStyle name="千分位 3 2 2 2 3 2 2 2" xfId="217" xr:uid="{00000000-0005-0000-0000-0000D9000000}"/>
    <cellStyle name="千分位 3 2 2 2 3 2 2 2 2" xfId="218" xr:uid="{00000000-0005-0000-0000-0000DA000000}"/>
    <cellStyle name="千分位 3 2 2 2 3 2 2 3" xfId="219" xr:uid="{00000000-0005-0000-0000-0000DB000000}"/>
    <cellStyle name="千分位 3 2 2 2 3 2 3" xfId="220" xr:uid="{00000000-0005-0000-0000-0000DC000000}"/>
    <cellStyle name="千分位 3 2 2 2 3 2 3 2" xfId="221" xr:uid="{00000000-0005-0000-0000-0000DD000000}"/>
    <cellStyle name="千分位 3 2 2 2 3 2 4" xfId="222" xr:uid="{00000000-0005-0000-0000-0000DE000000}"/>
    <cellStyle name="千分位 3 2 2 2 3 3" xfId="223" xr:uid="{00000000-0005-0000-0000-0000DF000000}"/>
    <cellStyle name="千分位 3 2 2 2 3 3 2" xfId="224" xr:uid="{00000000-0005-0000-0000-0000E0000000}"/>
    <cellStyle name="千分位 3 2 2 2 3 3 2 2" xfId="225" xr:uid="{00000000-0005-0000-0000-0000E1000000}"/>
    <cellStyle name="千分位 3 2 2 2 3 3 2 2 2" xfId="226" xr:uid="{00000000-0005-0000-0000-0000E2000000}"/>
    <cellStyle name="千分位 3 2 2 2 3 3 2 3" xfId="227" xr:uid="{00000000-0005-0000-0000-0000E3000000}"/>
    <cellStyle name="千分位 3 2 2 2 3 3 3" xfId="228" xr:uid="{00000000-0005-0000-0000-0000E4000000}"/>
    <cellStyle name="千分位 3 2 2 2 3 3 3 2" xfId="229" xr:uid="{00000000-0005-0000-0000-0000E5000000}"/>
    <cellStyle name="千分位 3 2 2 2 3 3 4" xfId="230" xr:uid="{00000000-0005-0000-0000-0000E6000000}"/>
    <cellStyle name="千分位 3 2 2 2 3 4" xfId="231" xr:uid="{00000000-0005-0000-0000-0000E7000000}"/>
    <cellStyle name="千分位 3 2 2 2 3 4 2" xfId="232" xr:uid="{00000000-0005-0000-0000-0000E8000000}"/>
    <cellStyle name="千分位 3 2 2 2 3 4 2 2" xfId="233" xr:uid="{00000000-0005-0000-0000-0000E9000000}"/>
    <cellStyle name="千分位 3 2 2 2 3 4 3" xfId="234" xr:uid="{00000000-0005-0000-0000-0000EA000000}"/>
    <cellStyle name="千分位 3 2 2 2 3 5" xfId="235" xr:uid="{00000000-0005-0000-0000-0000EB000000}"/>
    <cellStyle name="千分位 3 2 2 2 3 5 2" xfId="236" xr:uid="{00000000-0005-0000-0000-0000EC000000}"/>
    <cellStyle name="千分位 3 2 2 2 3 6" xfId="237" xr:uid="{00000000-0005-0000-0000-0000ED000000}"/>
    <cellStyle name="千分位 3 2 2 2 4" xfId="238" xr:uid="{00000000-0005-0000-0000-0000EE000000}"/>
    <cellStyle name="千分位 3 2 2 2 4 2" xfId="239" xr:uid="{00000000-0005-0000-0000-0000EF000000}"/>
    <cellStyle name="千分位 3 2 2 2 4 2 2" xfId="240" xr:uid="{00000000-0005-0000-0000-0000F0000000}"/>
    <cellStyle name="千分位 3 2 2 2 4 2 2 2" xfId="241" xr:uid="{00000000-0005-0000-0000-0000F1000000}"/>
    <cellStyle name="千分位 3 2 2 2 4 2 3" xfId="242" xr:uid="{00000000-0005-0000-0000-0000F2000000}"/>
    <cellStyle name="千分位 3 2 2 2 4 3" xfId="243" xr:uid="{00000000-0005-0000-0000-0000F3000000}"/>
    <cellStyle name="千分位 3 2 2 2 4 3 2" xfId="244" xr:uid="{00000000-0005-0000-0000-0000F4000000}"/>
    <cellStyle name="千分位 3 2 2 2 4 4" xfId="245" xr:uid="{00000000-0005-0000-0000-0000F5000000}"/>
    <cellStyle name="千分位 3 2 2 2 5" xfId="246" xr:uid="{00000000-0005-0000-0000-0000F6000000}"/>
    <cellStyle name="千分位 3 2 2 2 5 2" xfId="247" xr:uid="{00000000-0005-0000-0000-0000F7000000}"/>
    <cellStyle name="千分位 3 2 2 2 5 2 2" xfId="248" xr:uid="{00000000-0005-0000-0000-0000F8000000}"/>
    <cellStyle name="千分位 3 2 2 2 5 2 2 2" xfId="249" xr:uid="{00000000-0005-0000-0000-0000F9000000}"/>
    <cellStyle name="千分位 3 2 2 2 5 2 3" xfId="250" xr:uid="{00000000-0005-0000-0000-0000FA000000}"/>
    <cellStyle name="千分位 3 2 2 2 5 3" xfId="251" xr:uid="{00000000-0005-0000-0000-0000FB000000}"/>
    <cellStyle name="千分位 3 2 2 2 5 3 2" xfId="252" xr:uid="{00000000-0005-0000-0000-0000FC000000}"/>
    <cellStyle name="千分位 3 2 2 2 5 4" xfId="253" xr:uid="{00000000-0005-0000-0000-0000FD000000}"/>
    <cellStyle name="千分位 3 2 2 2 6" xfId="254" xr:uid="{00000000-0005-0000-0000-0000FE000000}"/>
    <cellStyle name="千分位 3 2 2 2 6 2" xfId="255" xr:uid="{00000000-0005-0000-0000-0000FF000000}"/>
    <cellStyle name="千分位 3 2 2 2 6 2 2" xfId="256" xr:uid="{00000000-0005-0000-0000-000000010000}"/>
    <cellStyle name="千分位 3 2 2 2 6 3" xfId="257" xr:uid="{00000000-0005-0000-0000-000001010000}"/>
    <cellStyle name="千分位 3 2 2 2 7" xfId="258" xr:uid="{00000000-0005-0000-0000-000002010000}"/>
    <cellStyle name="千分位 3 2 2 2 7 2" xfId="259" xr:uid="{00000000-0005-0000-0000-000003010000}"/>
    <cellStyle name="千分位 3 2 2 2 8" xfId="260" xr:uid="{00000000-0005-0000-0000-000004010000}"/>
    <cellStyle name="千分位 3 2 2 3" xfId="261" xr:uid="{00000000-0005-0000-0000-000005010000}"/>
    <cellStyle name="千分位 3 2 2 3 2" xfId="262" xr:uid="{00000000-0005-0000-0000-000006010000}"/>
    <cellStyle name="千分位 3 2 2 3 2 2" xfId="263" xr:uid="{00000000-0005-0000-0000-000007010000}"/>
    <cellStyle name="千分位 3 2 2 3 2 2 2" xfId="264" xr:uid="{00000000-0005-0000-0000-000008010000}"/>
    <cellStyle name="千分位 3 2 2 3 2 2 2 2" xfId="265" xr:uid="{00000000-0005-0000-0000-000009010000}"/>
    <cellStyle name="千分位 3 2 2 3 2 2 2 2 2" xfId="266" xr:uid="{00000000-0005-0000-0000-00000A010000}"/>
    <cellStyle name="千分位 3 2 2 3 2 2 2 3" xfId="267" xr:uid="{00000000-0005-0000-0000-00000B010000}"/>
    <cellStyle name="千分位 3 2 2 3 2 2 3" xfId="268" xr:uid="{00000000-0005-0000-0000-00000C010000}"/>
    <cellStyle name="千分位 3 2 2 3 2 2 3 2" xfId="269" xr:uid="{00000000-0005-0000-0000-00000D010000}"/>
    <cellStyle name="千分位 3 2 2 3 2 2 4" xfId="270" xr:uid="{00000000-0005-0000-0000-00000E010000}"/>
    <cellStyle name="千分位 3 2 2 3 2 3" xfId="271" xr:uid="{00000000-0005-0000-0000-00000F010000}"/>
    <cellStyle name="千分位 3 2 2 3 2 3 2" xfId="272" xr:uid="{00000000-0005-0000-0000-000010010000}"/>
    <cellStyle name="千分位 3 2 2 3 2 3 2 2" xfId="273" xr:uid="{00000000-0005-0000-0000-000011010000}"/>
    <cellStyle name="千分位 3 2 2 3 2 3 2 2 2" xfId="274" xr:uid="{00000000-0005-0000-0000-000012010000}"/>
    <cellStyle name="千分位 3 2 2 3 2 3 2 3" xfId="275" xr:uid="{00000000-0005-0000-0000-000013010000}"/>
    <cellStyle name="千分位 3 2 2 3 2 3 3" xfId="276" xr:uid="{00000000-0005-0000-0000-000014010000}"/>
    <cellStyle name="千分位 3 2 2 3 2 3 3 2" xfId="277" xr:uid="{00000000-0005-0000-0000-000015010000}"/>
    <cellStyle name="千分位 3 2 2 3 2 3 4" xfId="278" xr:uid="{00000000-0005-0000-0000-000016010000}"/>
    <cellStyle name="千分位 3 2 2 3 2 4" xfId="279" xr:uid="{00000000-0005-0000-0000-000017010000}"/>
    <cellStyle name="千分位 3 2 2 3 2 4 2" xfId="280" xr:uid="{00000000-0005-0000-0000-000018010000}"/>
    <cellStyle name="千分位 3 2 2 3 2 4 2 2" xfId="281" xr:uid="{00000000-0005-0000-0000-000019010000}"/>
    <cellStyle name="千分位 3 2 2 3 2 4 3" xfId="282" xr:uid="{00000000-0005-0000-0000-00001A010000}"/>
    <cellStyle name="千分位 3 2 2 3 2 5" xfId="283" xr:uid="{00000000-0005-0000-0000-00001B010000}"/>
    <cellStyle name="千分位 3 2 2 3 2 5 2" xfId="284" xr:uid="{00000000-0005-0000-0000-00001C010000}"/>
    <cellStyle name="千分位 3 2 2 3 2 6" xfId="285" xr:uid="{00000000-0005-0000-0000-00001D010000}"/>
    <cellStyle name="千分位 3 2 2 3 3" xfId="286" xr:uid="{00000000-0005-0000-0000-00001E010000}"/>
    <cellStyle name="千分位 3 2 2 3 3 2" xfId="287" xr:uid="{00000000-0005-0000-0000-00001F010000}"/>
    <cellStyle name="千分位 3 2 2 3 3 2 2" xfId="288" xr:uid="{00000000-0005-0000-0000-000020010000}"/>
    <cellStyle name="千分位 3 2 2 3 3 2 2 2" xfId="289" xr:uid="{00000000-0005-0000-0000-000021010000}"/>
    <cellStyle name="千分位 3 2 2 3 3 2 2 2 2" xfId="290" xr:uid="{00000000-0005-0000-0000-000022010000}"/>
    <cellStyle name="千分位 3 2 2 3 3 2 2 3" xfId="291" xr:uid="{00000000-0005-0000-0000-000023010000}"/>
    <cellStyle name="千分位 3 2 2 3 3 2 3" xfId="292" xr:uid="{00000000-0005-0000-0000-000024010000}"/>
    <cellStyle name="千分位 3 2 2 3 3 2 3 2" xfId="293" xr:uid="{00000000-0005-0000-0000-000025010000}"/>
    <cellStyle name="千分位 3 2 2 3 3 2 4" xfId="294" xr:uid="{00000000-0005-0000-0000-000026010000}"/>
    <cellStyle name="千分位 3 2 2 3 3 3" xfId="295" xr:uid="{00000000-0005-0000-0000-000027010000}"/>
    <cellStyle name="千分位 3 2 2 3 3 3 2" xfId="296" xr:uid="{00000000-0005-0000-0000-000028010000}"/>
    <cellStyle name="千分位 3 2 2 3 3 3 2 2" xfId="297" xr:uid="{00000000-0005-0000-0000-000029010000}"/>
    <cellStyle name="千分位 3 2 2 3 3 3 2 2 2" xfId="298" xr:uid="{00000000-0005-0000-0000-00002A010000}"/>
    <cellStyle name="千分位 3 2 2 3 3 3 2 3" xfId="299" xr:uid="{00000000-0005-0000-0000-00002B010000}"/>
    <cellStyle name="千分位 3 2 2 3 3 3 3" xfId="300" xr:uid="{00000000-0005-0000-0000-00002C010000}"/>
    <cellStyle name="千分位 3 2 2 3 3 3 3 2" xfId="301" xr:uid="{00000000-0005-0000-0000-00002D010000}"/>
    <cellStyle name="千分位 3 2 2 3 3 3 4" xfId="302" xr:uid="{00000000-0005-0000-0000-00002E010000}"/>
    <cellStyle name="千分位 3 2 2 3 3 4" xfId="303" xr:uid="{00000000-0005-0000-0000-00002F010000}"/>
    <cellStyle name="千分位 3 2 2 3 3 4 2" xfId="304" xr:uid="{00000000-0005-0000-0000-000030010000}"/>
    <cellStyle name="千分位 3 2 2 3 3 4 2 2" xfId="305" xr:uid="{00000000-0005-0000-0000-000031010000}"/>
    <cellStyle name="千分位 3 2 2 3 3 4 3" xfId="306" xr:uid="{00000000-0005-0000-0000-000032010000}"/>
    <cellStyle name="千分位 3 2 2 3 3 5" xfId="307" xr:uid="{00000000-0005-0000-0000-000033010000}"/>
    <cellStyle name="千分位 3 2 2 3 3 5 2" xfId="308" xr:uid="{00000000-0005-0000-0000-000034010000}"/>
    <cellStyle name="千分位 3 2 2 3 3 6" xfId="309" xr:uid="{00000000-0005-0000-0000-000035010000}"/>
    <cellStyle name="千分位 3 2 2 3 4" xfId="310" xr:uid="{00000000-0005-0000-0000-000036010000}"/>
    <cellStyle name="千分位 3 2 2 3 4 2" xfId="311" xr:uid="{00000000-0005-0000-0000-000037010000}"/>
    <cellStyle name="千分位 3 2 2 3 4 2 2" xfId="312" xr:uid="{00000000-0005-0000-0000-000038010000}"/>
    <cellStyle name="千分位 3 2 2 3 4 2 2 2" xfId="313" xr:uid="{00000000-0005-0000-0000-000039010000}"/>
    <cellStyle name="千分位 3 2 2 3 4 2 3" xfId="314" xr:uid="{00000000-0005-0000-0000-00003A010000}"/>
    <cellStyle name="千分位 3 2 2 3 4 3" xfId="315" xr:uid="{00000000-0005-0000-0000-00003B010000}"/>
    <cellStyle name="千分位 3 2 2 3 4 3 2" xfId="316" xr:uid="{00000000-0005-0000-0000-00003C010000}"/>
    <cellStyle name="千分位 3 2 2 3 4 4" xfId="317" xr:uid="{00000000-0005-0000-0000-00003D010000}"/>
    <cellStyle name="千分位 3 2 2 3 5" xfId="318" xr:uid="{00000000-0005-0000-0000-00003E010000}"/>
    <cellStyle name="千分位 3 2 2 3 5 2" xfId="319" xr:uid="{00000000-0005-0000-0000-00003F010000}"/>
    <cellStyle name="千分位 3 2 2 3 5 2 2" xfId="320" xr:uid="{00000000-0005-0000-0000-000040010000}"/>
    <cellStyle name="千分位 3 2 2 3 5 2 2 2" xfId="321" xr:uid="{00000000-0005-0000-0000-000041010000}"/>
    <cellStyle name="千分位 3 2 2 3 5 2 3" xfId="322" xr:uid="{00000000-0005-0000-0000-000042010000}"/>
    <cellStyle name="千分位 3 2 2 3 5 3" xfId="323" xr:uid="{00000000-0005-0000-0000-000043010000}"/>
    <cellStyle name="千分位 3 2 2 3 5 3 2" xfId="324" xr:uid="{00000000-0005-0000-0000-000044010000}"/>
    <cellStyle name="千分位 3 2 2 3 5 4" xfId="325" xr:uid="{00000000-0005-0000-0000-000045010000}"/>
    <cellStyle name="千分位 3 2 2 3 6" xfId="326" xr:uid="{00000000-0005-0000-0000-000046010000}"/>
    <cellStyle name="千分位 3 2 2 3 6 2" xfId="327" xr:uid="{00000000-0005-0000-0000-000047010000}"/>
    <cellStyle name="千分位 3 2 2 3 6 2 2" xfId="328" xr:uid="{00000000-0005-0000-0000-000048010000}"/>
    <cellStyle name="千分位 3 2 2 3 6 3" xfId="329" xr:uid="{00000000-0005-0000-0000-000049010000}"/>
    <cellStyle name="千分位 3 2 2 3 7" xfId="330" xr:uid="{00000000-0005-0000-0000-00004A010000}"/>
    <cellStyle name="千分位 3 2 2 3 7 2" xfId="331" xr:uid="{00000000-0005-0000-0000-00004B010000}"/>
    <cellStyle name="千分位 3 2 2 3 8" xfId="332" xr:uid="{00000000-0005-0000-0000-00004C010000}"/>
    <cellStyle name="千分位 3 2 2 4" xfId="333" xr:uid="{00000000-0005-0000-0000-00004D010000}"/>
    <cellStyle name="千分位 3 2 2 4 2" xfId="334" xr:uid="{00000000-0005-0000-0000-00004E010000}"/>
    <cellStyle name="千分位 3 2 2 4 2 2" xfId="335" xr:uid="{00000000-0005-0000-0000-00004F010000}"/>
    <cellStyle name="千分位 3 2 2 4 2 2 2" xfId="336" xr:uid="{00000000-0005-0000-0000-000050010000}"/>
    <cellStyle name="千分位 3 2 2 4 2 2 2 2" xfId="337" xr:uid="{00000000-0005-0000-0000-000051010000}"/>
    <cellStyle name="千分位 3 2 2 4 2 2 3" xfId="338" xr:uid="{00000000-0005-0000-0000-000052010000}"/>
    <cellStyle name="千分位 3 2 2 4 2 3" xfId="339" xr:uid="{00000000-0005-0000-0000-000053010000}"/>
    <cellStyle name="千分位 3 2 2 4 2 3 2" xfId="340" xr:uid="{00000000-0005-0000-0000-000054010000}"/>
    <cellStyle name="千分位 3 2 2 4 2 4" xfId="341" xr:uid="{00000000-0005-0000-0000-000055010000}"/>
    <cellStyle name="千分位 3 2 2 4 3" xfId="342" xr:uid="{00000000-0005-0000-0000-000056010000}"/>
    <cellStyle name="千分位 3 2 2 4 3 2" xfId="343" xr:uid="{00000000-0005-0000-0000-000057010000}"/>
    <cellStyle name="千分位 3 2 2 4 3 2 2" xfId="344" xr:uid="{00000000-0005-0000-0000-000058010000}"/>
    <cellStyle name="千分位 3 2 2 4 3 2 2 2" xfId="345" xr:uid="{00000000-0005-0000-0000-000059010000}"/>
    <cellStyle name="千分位 3 2 2 4 3 2 3" xfId="346" xr:uid="{00000000-0005-0000-0000-00005A010000}"/>
    <cellStyle name="千分位 3 2 2 4 3 3" xfId="347" xr:uid="{00000000-0005-0000-0000-00005B010000}"/>
    <cellStyle name="千分位 3 2 2 4 3 3 2" xfId="348" xr:uid="{00000000-0005-0000-0000-00005C010000}"/>
    <cellStyle name="千分位 3 2 2 4 3 4" xfId="349" xr:uid="{00000000-0005-0000-0000-00005D010000}"/>
    <cellStyle name="千分位 3 2 2 4 4" xfId="350" xr:uid="{00000000-0005-0000-0000-00005E010000}"/>
    <cellStyle name="千分位 3 2 2 4 4 2" xfId="351" xr:uid="{00000000-0005-0000-0000-00005F010000}"/>
    <cellStyle name="千分位 3 2 2 4 4 2 2" xfId="352" xr:uid="{00000000-0005-0000-0000-000060010000}"/>
    <cellStyle name="千分位 3 2 2 4 4 3" xfId="353" xr:uid="{00000000-0005-0000-0000-000061010000}"/>
    <cellStyle name="千分位 3 2 2 4 5" xfId="354" xr:uid="{00000000-0005-0000-0000-000062010000}"/>
    <cellStyle name="千分位 3 2 2 4 5 2" xfId="355" xr:uid="{00000000-0005-0000-0000-000063010000}"/>
    <cellStyle name="千分位 3 2 2 4 6" xfId="356" xr:uid="{00000000-0005-0000-0000-000064010000}"/>
    <cellStyle name="千分位 3 2 2 5" xfId="357" xr:uid="{00000000-0005-0000-0000-000065010000}"/>
    <cellStyle name="千分位 3 2 2 5 2" xfId="358" xr:uid="{00000000-0005-0000-0000-000066010000}"/>
    <cellStyle name="千分位 3 2 2 5 2 2" xfId="359" xr:uid="{00000000-0005-0000-0000-000067010000}"/>
    <cellStyle name="千分位 3 2 2 5 2 2 2" xfId="360" xr:uid="{00000000-0005-0000-0000-000068010000}"/>
    <cellStyle name="千分位 3 2 2 5 2 2 2 2" xfId="361" xr:uid="{00000000-0005-0000-0000-000069010000}"/>
    <cellStyle name="千分位 3 2 2 5 2 2 3" xfId="362" xr:uid="{00000000-0005-0000-0000-00006A010000}"/>
    <cellStyle name="千分位 3 2 2 5 2 3" xfId="363" xr:uid="{00000000-0005-0000-0000-00006B010000}"/>
    <cellStyle name="千分位 3 2 2 5 2 3 2" xfId="364" xr:uid="{00000000-0005-0000-0000-00006C010000}"/>
    <cellStyle name="千分位 3 2 2 5 2 4" xfId="365" xr:uid="{00000000-0005-0000-0000-00006D010000}"/>
    <cellStyle name="千分位 3 2 2 5 3" xfId="366" xr:uid="{00000000-0005-0000-0000-00006E010000}"/>
    <cellStyle name="千分位 3 2 2 5 3 2" xfId="367" xr:uid="{00000000-0005-0000-0000-00006F010000}"/>
    <cellStyle name="千分位 3 2 2 5 3 2 2" xfId="368" xr:uid="{00000000-0005-0000-0000-000070010000}"/>
    <cellStyle name="千分位 3 2 2 5 3 2 2 2" xfId="369" xr:uid="{00000000-0005-0000-0000-000071010000}"/>
    <cellStyle name="千分位 3 2 2 5 3 2 3" xfId="370" xr:uid="{00000000-0005-0000-0000-000072010000}"/>
    <cellStyle name="千分位 3 2 2 5 3 3" xfId="371" xr:uid="{00000000-0005-0000-0000-000073010000}"/>
    <cellStyle name="千分位 3 2 2 5 3 3 2" xfId="372" xr:uid="{00000000-0005-0000-0000-000074010000}"/>
    <cellStyle name="千分位 3 2 2 5 3 4" xfId="373" xr:uid="{00000000-0005-0000-0000-000075010000}"/>
    <cellStyle name="千分位 3 2 2 5 4" xfId="374" xr:uid="{00000000-0005-0000-0000-000076010000}"/>
    <cellStyle name="千分位 3 2 2 5 4 2" xfId="375" xr:uid="{00000000-0005-0000-0000-000077010000}"/>
    <cellStyle name="千分位 3 2 2 5 4 2 2" xfId="376" xr:uid="{00000000-0005-0000-0000-000078010000}"/>
    <cellStyle name="千分位 3 2 2 5 4 3" xfId="377" xr:uid="{00000000-0005-0000-0000-000079010000}"/>
    <cellStyle name="千分位 3 2 2 5 5" xfId="378" xr:uid="{00000000-0005-0000-0000-00007A010000}"/>
    <cellStyle name="千分位 3 2 2 5 5 2" xfId="379" xr:uid="{00000000-0005-0000-0000-00007B010000}"/>
    <cellStyle name="千分位 3 2 2 5 6" xfId="380" xr:uid="{00000000-0005-0000-0000-00007C010000}"/>
    <cellStyle name="千分位 3 2 2 6" xfId="381" xr:uid="{00000000-0005-0000-0000-00007D010000}"/>
    <cellStyle name="千分位 3 2 2 6 2" xfId="382" xr:uid="{00000000-0005-0000-0000-00007E010000}"/>
    <cellStyle name="千分位 3 2 2 6 2 2" xfId="383" xr:uid="{00000000-0005-0000-0000-00007F010000}"/>
    <cellStyle name="千分位 3 2 2 6 2 2 2" xfId="384" xr:uid="{00000000-0005-0000-0000-000080010000}"/>
    <cellStyle name="千分位 3 2 2 6 2 3" xfId="385" xr:uid="{00000000-0005-0000-0000-000081010000}"/>
    <cellStyle name="千分位 3 2 2 6 3" xfId="386" xr:uid="{00000000-0005-0000-0000-000082010000}"/>
    <cellStyle name="千分位 3 2 2 6 3 2" xfId="387" xr:uid="{00000000-0005-0000-0000-000083010000}"/>
    <cellStyle name="千分位 3 2 2 6 4" xfId="388" xr:uid="{00000000-0005-0000-0000-000084010000}"/>
    <cellStyle name="千分位 3 2 2 7" xfId="389" xr:uid="{00000000-0005-0000-0000-000085010000}"/>
    <cellStyle name="千分位 3 2 2 7 2" xfId="390" xr:uid="{00000000-0005-0000-0000-000086010000}"/>
    <cellStyle name="千分位 3 2 2 7 2 2" xfId="391" xr:uid="{00000000-0005-0000-0000-000087010000}"/>
    <cellStyle name="千分位 3 2 2 7 2 2 2" xfId="392" xr:uid="{00000000-0005-0000-0000-000088010000}"/>
    <cellStyle name="千分位 3 2 2 7 2 3" xfId="393" xr:uid="{00000000-0005-0000-0000-000089010000}"/>
    <cellStyle name="千分位 3 2 2 7 3" xfId="394" xr:uid="{00000000-0005-0000-0000-00008A010000}"/>
    <cellStyle name="千分位 3 2 2 7 3 2" xfId="395" xr:uid="{00000000-0005-0000-0000-00008B010000}"/>
    <cellStyle name="千分位 3 2 2 7 4" xfId="396" xr:uid="{00000000-0005-0000-0000-00008C010000}"/>
    <cellStyle name="千分位 3 2 2 8" xfId="397" xr:uid="{00000000-0005-0000-0000-00008D010000}"/>
    <cellStyle name="千分位 3 2 2 8 2" xfId="398" xr:uid="{00000000-0005-0000-0000-00008E010000}"/>
    <cellStyle name="千分位 3 2 2 8 2 2" xfId="399" xr:uid="{00000000-0005-0000-0000-00008F010000}"/>
    <cellStyle name="千分位 3 2 2 8 3" xfId="400" xr:uid="{00000000-0005-0000-0000-000090010000}"/>
    <cellStyle name="千分位 3 2 2 9" xfId="401" xr:uid="{00000000-0005-0000-0000-000091010000}"/>
    <cellStyle name="千分位 3 2 2 9 2" xfId="402" xr:uid="{00000000-0005-0000-0000-000092010000}"/>
    <cellStyle name="千分位 3 2 3" xfId="403" xr:uid="{00000000-0005-0000-0000-000093010000}"/>
    <cellStyle name="千分位 3 2 3 2" xfId="404" xr:uid="{00000000-0005-0000-0000-000094010000}"/>
    <cellStyle name="千分位 3 2 3 2 2" xfId="405" xr:uid="{00000000-0005-0000-0000-000095010000}"/>
    <cellStyle name="千分位 3 2 3 2 2 2" xfId="406" xr:uid="{00000000-0005-0000-0000-000096010000}"/>
    <cellStyle name="千分位 3 2 3 2 2 2 2" xfId="407" xr:uid="{00000000-0005-0000-0000-000097010000}"/>
    <cellStyle name="千分位 3 2 3 2 2 2 2 2" xfId="408" xr:uid="{00000000-0005-0000-0000-000098010000}"/>
    <cellStyle name="千分位 3 2 3 2 2 2 3" xfId="409" xr:uid="{00000000-0005-0000-0000-000099010000}"/>
    <cellStyle name="千分位 3 2 3 2 2 3" xfId="410" xr:uid="{00000000-0005-0000-0000-00009A010000}"/>
    <cellStyle name="千分位 3 2 3 2 2 3 2" xfId="411" xr:uid="{00000000-0005-0000-0000-00009B010000}"/>
    <cellStyle name="千分位 3 2 3 2 2 4" xfId="412" xr:uid="{00000000-0005-0000-0000-00009C010000}"/>
    <cellStyle name="千分位 3 2 3 2 3" xfId="413" xr:uid="{00000000-0005-0000-0000-00009D010000}"/>
    <cellStyle name="千分位 3 2 3 2 3 2" xfId="414" xr:uid="{00000000-0005-0000-0000-00009E010000}"/>
    <cellStyle name="千分位 3 2 3 2 3 2 2" xfId="415" xr:uid="{00000000-0005-0000-0000-00009F010000}"/>
    <cellStyle name="千分位 3 2 3 2 3 2 2 2" xfId="416" xr:uid="{00000000-0005-0000-0000-0000A0010000}"/>
    <cellStyle name="千分位 3 2 3 2 3 2 3" xfId="417" xr:uid="{00000000-0005-0000-0000-0000A1010000}"/>
    <cellStyle name="千分位 3 2 3 2 3 3" xfId="418" xr:uid="{00000000-0005-0000-0000-0000A2010000}"/>
    <cellStyle name="千分位 3 2 3 2 3 3 2" xfId="419" xr:uid="{00000000-0005-0000-0000-0000A3010000}"/>
    <cellStyle name="千分位 3 2 3 2 3 4" xfId="420" xr:uid="{00000000-0005-0000-0000-0000A4010000}"/>
    <cellStyle name="千分位 3 2 3 2 4" xfId="421" xr:uid="{00000000-0005-0000-0000-0000A5010000}"/>
    <cellStyle name="千分位 3 2 3 2 4 2" xfId="422" xr:uid="{00000000-0005-0000-0000-0000A6010000}"/>
    <cellStyle name="千分位 3 2 3 2 4 2 2" xfId="423" xr:uid="{00000000-0005-0000-0000-0000A7010000}"/>
    <cellStyle name="千分位 3 2 3 2 4 3" xfId="424" xr:uid="{00000000-0005-0000-0000-0000A8010000}"/>
    <cellStyle name="千分位 3 2 3 2 5" xfId="425" xr:uid="{00000000-0005-0000-0000-0000A9010000}"/>
    <cellStyle name="千分位 3 2 3 2 5 2" xfId="426" xr:uid="{00000000-0005-0000-0000-0000AA010000}"/>
    <cellStyle name="千分位 3 2 3 2 6" xfId="427" xr:uid="{00000000-0005-0000-0000-0000AB010000}"/>
    <cellStyle name="千分位 3 2 3 3" xfId="428" xr:uid="{00000000-0005-0000-0000-0000AC010000}"/>
    <cellStyle name="千分位 3 2 3 3 2" xfId="429" xr:uid="{00000000-0005-0000-0000-0000AD010000}"/>
    <cellStyle name="千分位 3 2 3 3 2 2" xfId="430" xr:uid="{00000000-0005-0000-0000-0000AE010000}"/>
    <cellStyle name="千分位 3 2 3 3 2 2 2" xfId="431" xr:uid="{00000000-0005-0000-0000-0000AF010000}"/>
    <cellStyle name="千分位 3 2 3 3 2 2 2 2" xfId="432" xr:uid="{00000000-0005-0000-0000-0000B0010000}"/>
    <cellStyle name="千分位 3 2 3 3 2 2 3" xfId="433" xr:uid="{00000000-0005-0000-0000-0000B1010000}"/>
    <cellStyle name="千分位 3 2 3 3 2 3" xfId="434" xr:uid="{00000000-0005-0000-0000-0000B2010000}"/>
    <cellStyle name="千分位 3 2 3 3 2 3 2" xfId="435" xr:uid="{00000000-0005-0000-0000-0000B3010000}"/>
    <cellStyle name="千分位 3 2 3 3 2 4" xfId="436" xr:uid="{00000000-0005-0000-0000-0000B4010000}"/>
    <cellStyle name="千分位 3 2 3 3 3" xfId="437" xr:uid="{00000000-0005-0000-0000-0000B5010000}"/>
    <cellStyle name="千分位 3 2 3 3 3 2" xfId="438" xr:uid="{00000000-0005-0000-0000-0000B6010000}"/>
    <cellStyle name="千分位 3 2 3 3 3 2 2" xfId="439" xr:uid="{00000000-0005-0000-0000-0000B7010000}"/>
    <cellStyle name="千分位 3 2 3 3 3 2 2 2" xfId="440" xr:uid="{00000000-0005-0000-0000-0000B8010000}"/>
    <cellStyle name="千分位 3 2 3 3 3 2 3" xfId="441" xr:uid="{00000000-0005-0000-0000-0000B9010000}"/>
    <cellStyle name="千分位 3 2 3 3 3 3" xfId="442" xr:uid="{00000000-0005-0000-0000-0000BA010000}"/>
    <cellStyle name="千分位 3 2 3 3 3 3 2" xfId="443" xr:uid="{00000000-0005-0000-0000-0000BB010000}"/>
    <cellStyle name="千分位 3 2 3 3 3 4" xfId="444" xr:uid="{00000000-0005-0000-0000-0000BC010000}"/>
    <cellStyle name="千分位 3 2 3 3 4" xfId="445" xr:uid="{00000000-0005-0000-0000-0000BD010000}"/>
    <cellStyle name="千分位 3 2 3 3 4 2" xfId="446" xr:uid="{00000000-0005-0000-0000-0000BE010000}"/>
    <cellStyle name="千分位 3 2 3 3 4 2 2" xfId="447" xr:uid="{00000000-0005-0000-0000-0000BF010000}"/>
    <cellStyle name="千分位 3 2 3 3 4 3" xfId="448" xr:uid="{00000000-0005-0000-0000-0000C0010000}"/>
    <cellStyle name="千分位 3 2 3 3 5" xfId="449" xr:uid="{00000000-0005-0000-0000-0000C1010000}"/>
    <cellStyle name="千分位 3 2 3 3 5 2" xfId="450" xr:uid="{00000000-0005-0000-0000-0000C2010000}"/>
    <cellStyle name="千分位 3 2 3 3 6" xfId="451" xr:uid="{00000000-0005-0000-0000-0000C3010000}"/>
    <cellStyle name="千分位 3 2 3 4" xfId="452" xr:uid="{00000000-0005-0000-0000-0000C4010000}"/>
    <cellStyle name="千分位 3 2 3 4 2" xfId="453" xr:uid="{00000000-0005-0000-0000-0000C5010000}"/>
    <cellStyle name="千分位 3 2 3 4 2 2" xfId="454" xr:uid="{00000000-0005-0000-0000-0000C6010000}"/>
    <cellStyle name="千分位 3 2 3 4 2 2 2" xfId="455" xr:uid="{00000000-0005-0000-0000-0000C7010000}"/>
    <cellStyle name="千分位 3 2 3 4 2 3" xfId="456" xr:uid="{00000000-0005-0000-0000-0000C8010000}"/>
    <cellStyle name="千分位 3 2 3 4 3" xfId="457" xr:uid="{00000000-0005-0000-0000-0000C9010000}"/>
    <cellStyle name="千分位 3 2 3 4 3 2" xfId="458" xr:uid="{00000000-0005-0000-0000-0000CA010000}"/>
    <cellStyle name="千分位 3 2 3 4 4" xfId="459" xr:uid="{00000000-0005-0000-0000-0000CB010000}"/>
    <cellStyle name="千分位 3 2 3 5" xfId="460" xr:uid="{00000000-0005-0000-0000-0000CC010000}"/>
    <cellStyle name="千分位 3 2 3 5 2" xfId="461" xr:uid="{00000000-0005-0000-0000-0000CD010000}"/>
    <cellStyle name="千分位 3 2 3 5 2 2" xfId="462" xr:uid="{00000000-0005-0000-0000-0000CE010000}"/>
    <cellStyle name="千分位 3 2 3 5 2 2 2" xfId="463" xr:uid="{00000000-0005-0000-0000-0000CF010000}"/>
    <cellStyle name="千分位 3 2 3 5 2 3" xfId="464" xr:uid="{00000000-0005-0000-0000-0000D0010000}"/>
    <cellStyle name="千分位 3 2 3 5 3" xfId="465" xr:uid="{00000000-0005-0000-0000-0000D1010000}"/>
    <cellStyle name="千分位 3 2 3 5 3 2" xfId="466" xr:uid="{00000000-0005-0000-0000-0000D2010000}"/>
    <cellStyle name="千分位 3 2 3 5 4" xfId="467" xr:uid="{00000000-0005-0000-0000-0000D3010000}"/>
    <cellStyle name="千分位 3 2 3 6" xfId="468" xr:uid="{00000000-0005-0000-0000-0000D4010000}"/>
    <cellStyle name="千分位 3 2 3 6 2" xfId="469" xr:uid="{00000000-0005-0000-0000-0000D5010000}"/>
    <cellStyle name="千分位 3 2 3 6 2 2" xfId="470" xr:uid="{00000000-0005-0000-0000-0000D6010000}"/>
    <cellStyle name="千分位 3 2 3 6 3" xfId="471" xr:uid="{00000000-0005-0000-0000-0000D7010000}"/>
    <cellStyle name="千分位 3 2 3 7" xfId="472" xr:uid="{00000000-0005-0000-0000-0000D8010000}"/>
    <cellStyle name="千分位 3 2 3 7 2" xfId="473" xr:uid="{00000000-0005-0000-0000-0000D9010000}"/>
    <cellStyle name="千分位 3 2 3 8" xfId="474" xr:uid="{00000000-0005-0000-0000-0000DA010000}"/>
    <cellStyle name="千分位 3 2 4" xfId="475" xr:uid="{00000000-0005-0000-0000-0000DB010000}"/>
    <cellStyle name="千分位 3 2 4 2" xfId="476" xr:uid="{00000000-0005-0000-0000-0000DC010000}"/>
    <cellStyle name="千分位 3 2 4 2 2" xfId="477" xr:uid="{00000000-0005-0000-0000-0000DD010000}"/>
    <cellStyle name="千分位 3 2 4 2 2 2" xfId="478" xr:uid="{00000000-0005-0000-0000-0000DE010000}"/>
    <cellStyle name="千分位 3 2 4 2 2 2 2" xfId="479" xr:uid="{00000000-0005-0000-0000-0000DF010000}"/>
    <cellStyle name="千分位 3 2 4 2 2 3" xfId="480" xr:uid="{00000000-0005-0000-0000-0000E0010000}"/>
    <cellStyle name="千分位 3 2 4 2 3" xfId="481" xr:uid="{00000000-0005-0000-0000-0000E1010000}"/>
    <cellStyle name="千分位 3 2 4 2 3 2" xfId="482" xr:uid="{00000000-0005-0000-0000-0000E2010000}"/>
    <cellStyle name="千分位 3 2 4 2 4" xfId="483" xr:uid="{00000000-0005-0000-0000-0000E3010000}"/>
    <cellStyle name="千分位 3 2 4 3" xfId="484" xr:uid="{00000000-0005-0000-0000-0000E4010000}"/>
    <cellStyle name="千分位 3 2 4 3 2" xfId="485" xr:uid="{00000000-0005-0000-0000-0000E5010000}"/>
    <cellStyle name="千分位 3 2 4 3 2 2" xfId="486" xr:uid="{00000000-0005-0000-0000-0000E6010000}"/>
    <cellStyle name="千分位 3 2 4 3 2 2 2" xfId="487" xr:uid="{00000000-0005-0000-0000-0000E7010000}"/>
    <cellStyle name="千分位 3 2 4 3 2 3" xfId="488" xr:uid="{00000000-0005-0000-0000-0000E8010000}"/>
    <cellStyle name="千分位 3 2 4 3 3" xfId="489" xr:uid="{00000000-0005-0000-0000-0000E9010000}"/>
    <cellStyle name="千分位 3 2 4 3 3 2" xfId="490" xr:uid="{00000000-0005-0000-0000-0000EA010000}"/>
    <cellStyle name="千分位 3 2 4 3 4" xfId="491" xr:uid="{00000000-0005-0000-0000-0000EB010000}"/>
    <cellStyle name="千分位 3 2 4 4" xfId="492" xr:uid="{00000000-0005-0000-0000-0000EC010000}"/>
    <cellStyle name="千分位 3 2 4 4 2" xfId="493" xr:uid="{00000000-0005-0000-0000-0000ED010000}"/>
    <cellStyle name="千分位 3 2 4 4 2 2" xfId="494" xr:uid="{00000000-0005-0000-0000-0000EE010000}"/>
    <cellStyle name="千分位 3 2 4 4 3" xfId="495" xr:uid="{00000000-0005-0000-0000-0000EF010000}"/>
    <cellStyle name="千分位 3 2 4 5" xfId="496" xr:uid="{00000000-0005-0000-0000-0000F0010000}"/>
    <cellStyle name="千分位 3 2 4 5 2" xfId="497" xr:uid="{00000000-0005-0000-0000-0000F1010000}"/>
    <cellStyle name="千分位 3 2 4 6" xfId="498" xr:uid="{00000000-0005-0000-0000-0000F2010000}"/>
    <cellStyle name="千分位 3 2 5" xfId="499" xr:uid="{00000000-0005-0000-0000-0000F3010000}"/>
    <cellStyle name="千分位 3 2 5 2" xfId="500" xr:uid="{00000000-0005-0000-0000-0000F4010000}"/>
    <cellStyle name="千分位 3 2 5 2 2" xfId="501" xr:uid="{00000000-0005-0000-0000-0000F5010000}"/>
    <cellStyle name="千分位 3 2 5 2 2 2" xfId="502" xr:uid="{00000000-0005-0000-0000-0000F6010000}"/>
    <cellStyle name="千分位 3 2 5 2 2 2 2" xfId="503" xr:uid="{00000000-0005-0000-0000-0000F7010000}"/>
    <cellStyle name="千分位 3 2 5 2 2 3" xfId="504" xr:uid="{00000000-0005-0000-0000-0000F8010000}"/>
    <cellStyle name="千分位 3 2 5 2 3" xfId="505" xr:uid="{00000000-0005-0000-0000-0000F9010000}"/>
    <cellStyle name="千分位 3 2 5 2 3 2" xfId="506" xr:uid="{00000000-0005-0000-0000-0000FA010000}"/>
    <cellStyle name="千分位 3 2 5 2 4" xfId="507" xr:uid="{00000000-0005-0000-0000-0000FB010000}"/>
    <cellStyle name="千分位 3 2 5 3" xfId="508" xr:uid="{00000000-0005-0000-0000-0000FC010000}"/>
    <cellStyle name="千分位 3 2 5 3 2" xfId="509" xr:uid="{00000000-0005-0000-0000-0000FD010000}"/>
    <cellStyle name="千分位 3 2 5 3 2 2" xfId="510" xr:uid="{00000000-0005-0000-0000-0000FE010000}"/>
    <cellStyle name="千分位 3 2 5 3 2 2 2" xfId="511" xr:uid="{00000000-0005-0000-0000-0000FF010000}"/>
    <cellStyle name="千分位 3 2 5 3 2 3" xfId="512" xr:uid="{00000000-0005-0000-0000-000000020000}"/>
    <cellStyle name="千分位 3 2 5 3 3" xfId="513" xr:uid="{00000000-0005-0000-0000-000001020000}"/>
    <cellStyle name="千分位 3 2 5 3 3 2" xfId="514" xr:uid="{00000000-0005-0000-0000-000002020000}"/>
    <cellStyle name="千分位 3 2 5 3 4" xfId="515" xr:uid="{00000000-0005-0000-0000-000003020000}"/>
    <cellStyle name="千分位 3 2 5 4" xfId="516" xr:uid="{00000000-0005-0000-0000-000004020000}"/>
    <cellStyle name="千分位 3 2 5 4 2" xfId="517" xr:uid="{00000000-0005-0000-0000-000005020000}"/>
    <cellStyle name="千分位 3 2 5 4 2 2" xfId="518" xr:uid="{00000000-0005-0000-0000-000006020000}"/>
    <cellStyle name="千分位 3 2 5 4 3" xfId="519" xr:uid="{00000000-0005-0000-0000-000007020000}"/>
    <cellStyle name="千分位 3 2 5 5" xfId="520" xr:uid="{00000000-0005-0000-0000-000008020000}"/>
    <cellStyle name="千分位 3 2 5 5 2" xfId="521" xr:uid="{00000000-0005-0000-0000-000009020000}"/>
    <cellStyle name="千分位 3 2 5 6" xfId="522" xr:uid="{00000000-0005-0000-0000-00000A020000}"/>
    <cellStyle name="千分位 3 2 6" xfId="523" xr:uid="{00000000-0005-0000-0000-00000B020000}"/>
    <cellStyle name="千分位 3 2 6 2" xfId="524" xr:uid="{00000000-0005-0000-0000-00000C020000}"/>
    <cellStyle name="千分位 3 2 6 2 2" xfId="525" xr:uid="{00000000-0005-0000-0000-00000D020000}"/>
    <cellStyle name="千分位 3 2 6 2 2 2" xfId="526" xr:uid="{00000000-0005-0000-0000-00000E020000}"/>
    <cellStyle name="千分位 3 2 6 2 3" xfId="527" xr:uid="{00000000-0005-0000-0000-00000F020000}"/>
    <cellStyle name="千分位 3 2 6 3" xfId="528" xr:uid="{00000000-0005-0000-0000-000010020000}"/>
    <cellStyle name="千分位 3 2 6 3 2" xfId="529" xr:uid="{00000000-0005-0000-0000-000011020000}"/>
    <cellStyle name="千分位 3 2 6 4" xfId="530" xr:uid="{00000000-0005-0000-0000-000012020000}"/>
    <cellStyle name="千分位 3 2 7" xfId="531" xr:uid="{00000000-0005-0000-0000-000013020000}"/>
    <cellStyle name="千分位 3 2 7 2" xfId="532" xr:uid="{00000000-0005-0000-0000-000014020000}"/>
    <cellStyle name="千分位 3 2 7 2 2" xfId="533" xr:uid="{00000000-0005-0000-0000-000015020000}"/>
    <cellStyle name="千分位 3 2 7 2 2 2" xfId="534" xr:uid="{00000000-0005-0000-0000-000016020000}"/>
    <cellStyle name="千分位 3 2 7 2 3" xfId="535" xr:uid="{00000000-0005-0000-0000-000017020000}"/>
    <cellStyle name="千分位 3 2 7 3" xfId="536" xr:uid="{00000000-0005-0000-0000-000018020000}"/>
    <cellStyle name="千分位 3 2 7 3 2" xfId="537" xr:uid="{00000000-0005-0000-0000-000019020000}"/>
    <cellStyle name="千分位 3 2 7 4" xfId="538" xr:uid="{00000000-0005-0000-0000-00001A020000}"/>
    <cellStyle name="千分位 3 2 8" xfId="539" xr:uid="{00000000-0005-0000-0000-00001B020000}"/>
    <cellStyle name="千分位 3 2 8 2" xfId="540" xr:uid="{00000000-0005-0000-0000-00001C020000}"/>
    <cellStyle name="千分位 3 2 8 2 2" xfId="541" xr:uid="{00000000-0005-0000-0000-00001D020000}"/>
    <cellStyle name="千分位 3 2 8 3" xfId="542" xr:uid="{00000000-0005-0000-0000-00001E020000}"/>
    <cellStyle name="千分位 3 2 9" xfId="543" xr:uid="{00000000-0005-0000-0000-00001F020000}"/>
    <cellStyle name="千分位 3 2 9 2" xfId="544" xr:uid="{00000000-0005-0000-0000-000020020000}"/>
    <cellStyle name="千分位 3 3" xfId="545" xr:uid="{00000000-0005-0000-0000-000021020000}"/>
    <cellStyle name="千分位 3 3 2" xfId="546" xr:uid="{00000000-0005-0000-0000-000022020000}"/>
    <cellStyle name="千分位 3 3 2 2" xfId="547" xr:uid="{00000000-0005-0000-0000-000023020000}"/>
    <cellStyle name="千分位 3 3 2 2 2" xfId="548" xr:uid="{00000000-0005-0000-0000-000024020000}"/>
    <cellStyle name="千分位 3 3 2 2 2 2" xfId="549" xr:uid="{00000000-0005-0000-0000-000025020000}"/>
    <cellStyle name="千分位 3 3 2 2 2 2 2" xfId="550" xr:uid="{00000000-0005-0000-0000-000026020000}"/>
    <cellStyle name="千分位 3 3 2 2 2 2 2 2" xfId="551" xr:uid="{00000000-0005-0000-0000-000027020000}"/>
    <cellStyle name="千分位 3 3 2 2 2 2 3" xfId="552" xr:uid="{00000000-0005-0000-0000-000028020000}"/>
    <cellStyle name="千分位 3 3 2 2 2 3" xfId="553" xr:uid="{00000000-0005-0000-0000-000029020000}"/>
    <cellStyle name="千分位 3 3 2 2 2 3 2" xfId="554" xr:uid="{00000000-0005-0000-0000-00002A020000}"/>
    <cellStyle name="千分位 3 3 2 2 2 4" xfId="555" xr:uid="{00000000-0005-0000-0000-00002B020000}"/>
    <cellStyle name="千分位 3 3 2 2 3" xfId="556" xr:uid="{00000000-0005-0000-0000-00002C020000}"/>
    <cellStyle name="千分位 3 3 2 2 3 2" xfId="557" xr:uid="{00000000-0005-0000-0000-00002D020000}"/>
    <cellStyle name="千分位 3 3 2 2 3 2 2" xfId="558" xr:uid="{00000000-0005-0000-0000-00002E020000}"/>
    <cellStyle name="千分位 3 3 2 2 3 2 2 2" xfId="559" xr:uid="{00000000-0005-0000-0000-00002F020000}"/>
    <cellStyle name="千分位 3 3 2 2 3 2 3" xfId="560" xr:uid="{00000000-0005-0000-0000-000030020000}"/>
    <cellStyle name="千分位 3 3 2 2 3 3" xfId="561" xr:uid="{00000000-0005-0000-0000-000031020000}"/>
    <cellStyle name="千分位 3 3 2 2 3 3 2" xfId="562" xr:uid="{00000000-0005-0000-0000-000032020000}"/>
    <cellStyle name="千分位 3 3 2 2 3 4" xfId="563" xr:uid="{00000000-0005-0000-0000-000033020000}"/>
    <cellStyle name="千分位 3 3 2 2 4" xfId="564" xr:uid="{00000000-0005-0000-0000-000034020000}"/>
    <cellStyle name="千分位 3 3 2 2 4 2" xfId="565" xr:uid="{00000000-0005-0000-0000-000035020000}"/>
    <cellStyle name="千分位 3 3 2 2 4 2 2" xfId="566" xr:uid="{00000000-0005-0000-0000-000036020000}"/>
    <cellStyle name="千分位 3 3 2 2 4 3" xfId="567" xr:uid="{00000000-0005-0000-0000-000037020000}"/>
    <cellStyle name="千分位 3 3 2 2 5" xfId="568" xr:uid="{00000000-0005-0000-0000-000038020000}"/>
    <cellStyle name="千分位 3 3 2 2 5 2" xfId="569" xr:uid="{00000000-0005-0000-0000-000039020000}"/>
    <cellStyle name="千分位 3 3 2 2 6" xfId="570" xr:uid="{00000000-0005-0000-0000-00003A020000}"/>
    <cellStyle name="千分位 3 3 2 3" xfId="571" xr:uid="{00000000-0005-0000-0000-00003B020000}"/>
    <cellStyle name="千分位 3 3 2 3 2" xfId="572" xr:uid="{00000000-0005-0000-0000-00003C020000}"/>
    <cellStyle name="千分位 3 3 2 3 2 2" xfId="573" xr:uid="{00000000-0005-0000-0000-00003D020000}"/>
    <cellStyle name="千分位 3 3 2 3 2 2 2" xfId="574" xr:uid="{00000000-0005-0000-0000-00003E020000}"/>
    <cellStyle name="千分位 3 3 2 3 2 2 2 2" xfId="575" xr:uid="{00000000-0005-0000-0000-00003F020000}"/>
    <cellStyle name="千分位 3 3 2 3 2 2 3" xfId="576" xr:uid="{00000000-0005-0000-0000-000040020000}"/>
    <cellStyle name="千分位 3 3 2 3 2 3" xfId="577" xr:uid="{00000000-0005-0000-0000-000041020000}"/>
    <cellStyle name="千分位 3 3 2 3 2 3 2" xfId="578" xr:uid="{00000000-0005-0000-0000-000042020000}"/>
    <cellStyle name="千分位 3 3 2 3 2 4" xfId="579" xr:uid="{00000000-0005-0000-0000-000043020000}"/>
    <cellStyle name="千分位 3 3 2 3 3" xfId="580" xr:uid="{00000000-0005-0000-0000-000044020000}"/>
    <cellStyle name="千分位 3 3 2 3 3 2" xfId="581" xr:uid="{00000000-0005-0000-0000-000045020000}"/>
    <cellStyle name="千分位 3 3 2 3 3 2 2" xfId="582" xr:uid="{00000000-0005-0000-0000-000046020000}"/>
    <cellStyle name="千分位 3 3 2 3 3 2 2 2" xfId="583" xr:uid="{00000000-0005-0000-0000-000047020000}"/>
    <cellStyle name="千分位 3 3 2 3 3 2 3" xfId="584" xr:uid="{00000000-0005-0000-0000-000048020000}"/>
    <cellStyle name="千分位 3 3 2 3 3 3" xfId="585" xr:uid="{00000000-0005-0000-0000-000049020000}"/>
    <cellStyle name="千分位 3 3 2 3 3 3 2" xfId="586" xr:uid="{00000000-0005-0000-0000-00004A020000}"/>
    <cellStyle name="千分位 3 3 2 3 3 4" xfId="587" xr:uid="{00000000-0005-0000-0000-00004B020000}"/>
    <cellStyle name="千分位 3 3 2 3 4" xfId="588" xr:uid="{00000000-0005-0000-0000-00004C020000}"/>
    <cellStyle name="千分位 3 3 2 3 4 2" xfId="589" xr:uid="{00000000-0005-0000-0000-00004D020000}"/>
    <cellStyle name="千分位 3 3 2 3 4 2 2" xfId="590" xr:uid="{00000000-0005-0000-0000-00004E020000}"/>
    <cellStyle name="千分位 3 3 2 3 4 3" xfId="591" xr:uid="{00000000-0005-0000-0000-00004F020000}"/>
    <cellStyle name="千分位 3 3 2 3 5" xfId="592" xr:uid="{00000000-0005-0000-0000-000050020000}"/>
    <cellStyle name="千分位 3 3 2 3 5 2" xfId="593" xr:uid="{00000000-0005-0000-0000-000051020000}"/>
    <cellStyle name="千分位 3 3 2 3 6" xfId="594" xr:uid="{00000000-0005-0000-0000-000052020000}"/>
    <cellStyle name="千分位 3 3 2 4" xfId="595" xr:uid="{00000000-0005-0000-0000-000053020000}"/>
    <cellStyle name="千分位 3 3 2 4 2" xfId="596" xr:uid="{00000000-0005-0000-0000-000054020000}"/>
    <cellStyle name="千分位 3 3 2 4 2 2" xfId="597" xr:uid="{00000000-0005-0000-0000-000055020000}"/>
    <cellStyle name="千分位 3 3 2 4 2 2 2" xfId="598" xr:uid="{00000000-0005-0000-0000-000056020000}"/>
    <cellStyle name="千分位 3 3 2 4 2 3" xfId="599" xr:uid="{00000000-0005-0000-0000-000057020000}"/>
    <cellStyle name="千分位 3 3 2 4 3" xfId="600" xr:uid="{00000000-0005-0000-0000-000058020000}"/>
    <cellStyle name="千分位 3 3 2 4 3 2" xfId="601" xr:uid="{00000000-0005-0000-0000-000059020000}"/>
    <cellStyle name="千分位 3 3 2 4 4" xfId="602" xr:uid="{00000000-0005-0000-0000-00005A020000}"/>
    <cellStyle name="千分位 3 3 2 5" xfId="603" xr:uid="{00000000-0005-0000-0000-00005B020000}"/>
    <cellStyle name="千分位 3 3 2 5 2" xfId="604" xr:uid="{00000000-0005-0000-0000-00005C020000}"/>
    <cellStyle name="千分位 3 3 2 5 2 2" xfId="605" xr:uid="{00000000-0005-0000-0000-00005D020000}"/>
    <cellStyle name="千分位 3 3 2 5 2 2 2" xfId="606" xr:uid="{00000000-0005-0000-0000-00005E020000}"/>
    <cellStyle name="千分位 3 3 2 5 2 3" xfId="607" xr:uid="{00000000-0005-0000-0000-00005F020000}"/>
    <cellStyle name="千分位 3 3 2 5 3" xfId="608" xr:uid="{00000000-0005-0000-0000-000060020000}"/>
    <cellStyle name="千分位 3 3 2 5 3 2" xfId="609" xr:uid="{00000000-0005-0000-0000-000061020000}"/>
    <cellStyle name="千分位 3 3 2 5 4" xfId="610" xr:uid="{00000000-0005-0000-0000-000062020000}"/>
    <cellStyle name="千分位 3 3 2 6" xfId="611" xr:uid="{00000000-0005-0000-0000-000063020000}"/>
    <cellStyle name="千分位 3 3 2 6 2" xfId="612" xr:uid="{00000000-0005-0000-0000-000064020000}"/>
    <cellStyle name="千分位 3 3 2 6 2 2" xfId="613" xr:uid="{00000000-0005-0000-0000-000065020000}"/>
    <cellStyle name="千分位 3 3 2 6 3" xfId="614" xr:uid="{00000000-0005-0000-0000-000066020000}"/>
    <cellStyle name="千分位 3 3 2 7" xfId="615" xr:uid="{00000000-0005-0000-0000-000067020000}"/>
    <cellStyle name="千分位 3 3 2 7 2" xfId="616" xr:uid="{00000000-0005-0000-0000-000068020000}"/>
    <cellStyle name="千分位 3 3 2 8" xfId="617" xr:uid="{00000000-0005-0000-0000-000069020000}"/>
    <cellStyle name="千分位 3 3 3" xfId="618" xr:uid="{00000000-0005-0000-0000-00006A020000}"/>
    <cellStyle name="千分位 3 3 3 2" xfId="619" xr:uid="{00000000-0005-0000-0000-00006B020000}"/>
    <cellStyle name="千分位 3 3 3 2 2" xfId="620" xr:uid="{00000000-0005-0000-0000-00006C020000}"/>
    <cellStyle name="千分位 3 3 3 2 2 2" xfId="621" xr:uid="{00000000-0005-0000-0000-00006D020000}"/>
    <cellStyle name="千分位 3 3 3 2 2 2 2" xfId="622" xr:uid="{00000000-0005-0000-0000-00006E020000}"/>
    <cellStyle name="千分位 3 3 3 2 2 3" xfId="623" xr:uid="{00000000-0005-0000-0000-00006F020000}"/>
    <cellStyle name="千分位 3 3 3 2 3" xfId="624" xr:uid="{00000000-0005-0000-0000-000070020000}"/>
    <cellStyle name="千分位 3 3 3 2 3 2" xfId="625" xr:uid="{00000000-0005-0000-0000-000071020000}"/>
    <cellStyle name="千分位 3 3 3 2 4" xfId="626" xr:uid="{00000000-0005-0000-0000-000072020000}"/>
    <cellStyle name="千分位 3 3 3 3" xfId="627" xr:uid="{00000000-0005-0000-0000-000073020000}"/>
    <cellStyle name="千分位 3 3 3 3 2" xfId="628" xr:uid="{00000000-0005-0000-0000-000074020000}"/>
    <cellStyle name="千分位 3 3 3 3 2 2" xfId="629" xr:uid="{00000000-0005-0000-0000-000075020000}"/>
    <cellStyle name="千分位 3 3 3 3 2 2 2" xfId="630" xr:uid="{00000000-0005-0000-0000-000076020000}"/>
    <cellStyle name="千分位 3 3 3 3 2 3" xfId="631" xr:uid="{00000000-0005-0000-0000-000077020000}"/>
    <cellStyle name="千分位 3 3 3 3 3" xfId="632" xr:uid="{00000000-0005-0000-0000-000078020000}"/>
    <cellStyle name="千分位 3 3 3 3 3 2" xfId="633" xr:uid="{00000000-0005-0000-0000-000079020000}"/>
    <cellStyle name="千分位 3 3 3 3 4" xfId="634" xr:uid="{00000000-0005-0000-0000-00007A020000}"/>
    <cellStyle name="千分位 3 3 3 4" xfId="635" xr:uid="{00000000-0005-0000-0000-00007B020000}"/>
    <cellStyle name="千分位 3 3 3 4 2" xfId="636" xr:uid="{00000000-0005-0000-0000-00007C020000}"/>
    <cellStyle name="千分位 3 3 3 4 2 2" xfId="637" xr:uid="{00000000-0005-0000-0000-00007D020000}"/>
    <cellStyle name="千分位 3 3 3 4 3" xfId="638" xr:uid="{00000000-0005-0000-0000-00007E020000}"/>
    <cellStyle name="千分位 3 3 3 5" xfId="639" xr:uid="{00000000-0005-0000-0000-00007F020000}"/>
    <cellStyle name="千分位 3 3 3 5 2" xfId="640" xr:uid="{00000000-0005-0000-0000-000080020000}"/>
    <cellStyle name="千分位 3 3 3 6" xfId="641" xr:uid="{00000000-0005-0000-0000-000081020000}"/>
    <cellStyle name="千分位 3 3 4" xfId="642" xr:uid="{00000000-0005-0000-0000-000082020000}"/>
    <cellStyle name="千分位 3 3 4 2" xfId="643" xr:uid="{00000000-0005-0000-0000-000083020000}"/>
    <cellStyle name="千分位 3 3 4 2 2" xfId="644" xr:uid="{00000000-0005-0000-0000-000084020000}"/>
    <cellStyle name="千分位 3 3 4 2 2 2" xfId="645" xr:uid="{00000000-0005-0000-0000-000085020000}"/>
    <cellStyle name="千分位 3 3 4 2 2 2 2" xfId="646" xr:uid="{00000000-0005-0000-0000-000086020000}"/>
    <cellStyle name="千分位 3 3 4 2 2 3" xfId="647" xr:uid="{00000000-0005-0000-0000-000087020000}"/>
    <cellStyle name="千分位 3 3 4 2 3" xfId="648" xr:uid="{00000000-0005-0000-0000-000088020000}"/>
    <cellStyle name="千分位 3 3 4 2 3 2" xfId="649" xr:uid="{00000000-0005-0000-0000-000089020000}"/>
    <cellStyle name="千分位 3 3 4 2 4" xfId="650" xr:uid="{00000000-0005-0000-0000-00008A020000}"/>
    <cellStyle name="千分位 3 3 4 3" xfId="651" xr:uid="{00000000-0005-0000-0000-00008B020000}"/>
    <cellStyle name="千分位 3 3 4 3 2" xfId="652" xr:uid="{00000000-0005-0000-0000-00008C020000}"/>
    <cellStyle name="千分位 3 3 4 3 2 2" xfId="653" xr:uid="{00000000-0005-0000-0000-00008D020000}"/>
    <cellStyle name="千分位 3 3 4 3 2 2 2" xfId="654" xr:uid="{00000000-0005-0000-0000-00008E020000}"/>
    <cellStyle name="千分位 3 3 4 3 2 3" xfId="655" xr:uid="{00000000-0005-0000-0000-00008F020000}"/>
    <cellStyle name="千分位 3 3 4 3 3" xfId="656" xr:uid="{00000000-0005-0000-0000-000090020000}"/>
    <cellStyle name="千分位 3 3 4 3 3 2" xfId="657" xr:uid="{00000000-0005-0000-0000-000091020000}"/>
    <cellStyle name="千分位 3 3 4 3 4" xfId="658" xr:uid="{00000000-0005-0000-0000-000092020000}"/>
    <cellStyle name="千分位 3 3 4 4" xfId="659" xr:uid="{00000000-0005-0000-0000-000093020000}"/>
    <cellStyle name="千分位 3 3 4 4 2" xfId="660" xr:uid="{00000000-0005-0000-0000-000094020000}"/>
    <cellStyle name="千分位 3 3 4 4 2 2" xfId="661" xr:uid="{00000000-0005-0000-0000-000095020000}"/>
    <cellStyle name="千分位 3 3 4 4 3" xfId="662" xr:uid="{00000000-0005-0000-0000-000096020000}"/>
    <cellStyle name="千分位 3 3 4 5" xfId="663" xr:uid="{00000000-0005-0000-0000-000097020000}"/>
    <cellStyle name="千分位 3 3 4 5 2" xfId="664" xr:uid="{00000000-0005-0000-0000-000098020000}"/>
    <cellStyle name="千分位 3 3 4 6" xfId="665" xr:uid="{00000000-0005-0000-0000-000099020000}"/>
    <cellStyle name="千分位 3 3 5" xfId="666" xr:uid="{00000000-0005-0000-0000-00009A020000}"/>
    <cellStyle name="千分位 3 3 5 2" xfId="667" xr:uid="{00000000-0005-0000-0000-00009B020000}"/>
    <cellStyle name="千分位 3 3 5 2 2" xfId="668" xr:uid="{00000000-0005-0000-0000-00009C020000}"/>
    <cellStyle name="千分位 3 3 5 2 2 2" xfId="669" xr:uid="{00000000-0005-0000-0000-00009D020000}"/>
    <cellStyle name="千分位 3 3 5 2 3" xfId="670" xr:uid="{00000000-0005-0000-0000-00009E020000}"/>
    <cellStyle name="千分位 3 3 5 3" xfId="671" xr:uid="{00000000-0005-0000-0000-00009F020000}"/>
    <cellStyle name="千分位 3 3 5 3 2" xfId="672" xr:uid="{00000000-0005-0000-0000-0000A0020000}"/>
    <cellStyle name="千分位 3 3 5 4" xfId="673" xr:uid="{00000000-0005-0000-0000-0000A1020000}"/>
    <cellStyle name="千分位 3 3 6" xfId="674" xr:uid="{00000000-0005-0000-0000-0000A2020000}"/>
    <cellStyle name="千分位 3 3 6 2" xfId="675" xr:uid="{00000000-0005-0000-0000-0000A3020000}"/>
    <cellStyle name="千分位 3 3 6 2 2" xfId="676" xr:uid="{00000000-0005-0000-0000-0000A4020000}"/>
    <cellStyle name="千分位 3 3 6 2 2 2" xfId="677" xr:uid="{00000000-0005-0000-0000-0000A5020000}"/>
    <cellStyle name="千分位 3 3 6 2 3" xfId="678" xr:uid="{00000000-0005-0000-0000-0000A6020000}"/>
    <cellStyle name="千分位 3 3 6 3" xfId="679" xr:uid="{00000000-0005-0000-0000-0000A7020000}"/>
    <cellStyle name="千分位 3 3 6 3 2" xfId="680" xr:uid="{00000000-0005-0000-0000-0000A8020000}"/>
    <cellStyle name="千分位 3 3 6 4" xfId="681" xr:uid="{00000000-0005-0000-0000-0000A9020000}"/>
    <cellStyle name="千分位 3 3 7" xfId="682" xr:uid="{00000000-0005-0000-0000-0000AA020000}"/>
    <cellStyle name="千分位 3 3 7 2" xfId="683" xr:uid="{00000000-0005-0000-0000-0000AB020000}"/>
    <cellStyle name="千分位 3 3 7 2 2" xfId="684" xr:uid="{00000000-0005-0000-0000-0000AC020000}"/>
    <cellStyle name="千分位 3 3 7 3" xfId="685" xr:uid="{00000000-0005-0000-0000-0000AD020000}"/>
    <cellStyle name="千分位 3 3 8" xfId="686" xr:uid="{00000000-0005-0000-0000-0000AE020000}"/>
    <cellStyle name="千分位 3 3 8 2" xfId="687" xr:uid="{00000000-0005-0000-0000-0000AF020000}"/>
    <cellStyle name="千分位 3 3 9" xfId="688" xr:uid="{00000000-0005-0000-0000-0000B0020000}"/>
    <cellStyle name="千分位 3 4" xfId="689" xr:uid="{00000000-0005-0000-0000-0000B1020000}"/>
    <cellStyle name="千分位 3 4 10" xfId="690" xr:uid="{00000000-0005-0000-0000-0000B2020000}"/>
    <cellStyle name="千分位 3 4 2" xfId="691" xr:uid="{00000000-0005-0000-0000-0000B3020000}"/>
    <cellStyle name="千分位 3 4 2 2" xfId="692" xr:uid="{00000000-0005-0000-0000-0000B4020000}"/>
    <cellStyle name="千分位 3 4 2 2 2" xfId="693" xr:uid="{00000000-0005-0000-0000-0000B5020000}"/>
    <cellStyle name="千分位 3 4 2 2 2 2" xfId="694" xr:uid="{00000000-0005-0000-0000-0000B6020000}"/>
    <cellStyle name="千分位 3 4 2 2 2 2 2" xfId="695" xr:uid="{00000000-0005-0000-0000-0000B7020000}"/>
    <cellStyle name="千分位 3 4 2 2 2 2 2 2" xfId="696" xr:uid="{00000000-0005-0000-0000-0000B8020000}"/>
    <cellStyle name="千分位 3 4 2 2 2 2 3" xfId="697" xr:uid="{00000000-0005-0000-0000-0000B9020000}"/>
    <cellStyle name="千分位 3 4 2 2 2 3" xfId="698" xr:uid="{00000000-0005-0000-0000-0000BA020000}"/>
    <cellStyle name="千分位 3 4 2 2 2 3 2" xfId="699" xr:uid="{00000000-0005-0000-0000-0000BB020000}"/>
    <cellStyle name="千分位 3 4 2 2 2 4" xfId="700" xr:uid="{00000000-0005-0000-0000-0000BC020000}"/>
    <cellStyle name="千分位 3 4 2 2 3" xfId="701" xr:uid="{00000000-0005-0000-0000-0000BD020000}"/>
    <cellStyle name="千分位 3 4 2 2 3 2" xfId="702" xr:uid="{00000000-0005-0000-0000-0000BE020000}"/>
    <cellStyle name="千分位 3 4 2 2 3 2 2" xfId="703" xr:uid="{00000000-0005-0000-0000-0000BF020000}"/>
    <cellStyle name="千分位 3 4 2 2 3 2 2 2" xfId="704" xr:uid="{00000000-0005-0000-0000-0000C0020000}"/>
    <cellStyle name="千分位 3 4 2 2 3 2 3" xfId="705" xr:uid="{00000000-0005-0000-0000-0000C1020000}"/>
    <cellStyle name="千分位 3 4 2 2 3 3" xfId="706" xr:uid="{00000000-0005-0000-0000-0000C2020000}"/>
    <cellStyle name="千分位 3 4 2 2 3 3 2" xfId="707" xr:uid="{00000000-0005-0000-0000-0000C3020000}"/>
    <cellStyle name="千分位 3 4 2 2 3 4" xfId="708" xr:uid="{00000000-0005-0000-0000-0000C4020000}"/>
    <cellStyle name="千分位 3 4 2 2 4" xfId="709" xr:uid="{00000000-0005-0000-0000-0000C5020000}"/>
    <cellStyle name="千分位 3 4 2 2 4 2" xfId="710" xr:uid="{00000000-0005-0000-0000-0000C6020000}"/>
    <cellStyle name="千分位 3 4 2 2 4 2 2" xfId="711" xr:uid="{00000000-0005-0000-0000-0000C7020000}"/>
    <cellStyle name="千分位 3 4 2 2 4 3" xfId="712" xr:uid="{00000000-0005-0000-0000-0000C8020000}"/>
    <cellStyle name="千分位 3 4 2 2 5" xfId="713" xr:uid="{00000000-0005-0000-0000-0000C9020000}"/>
    <cellStyle name="千分位 3 4 2 2 5 2" xfId="714" xr:uid="{00000000-0005-0000-0000-0000CA020000}"/>
    <cellStyle name="千分位 3 4 2 2 6" xfId="715" xr:uid="{00000000-0005-0000-0000-0000CB020000}"/>
    <cellStyle name="千分位 3 4 2 3" xfId="716" xr:uid="{00000000-0005-0000-0000-0000CC020000}"/>
    <cellStyle name="千分位 3 4 2 3 2" xfId="717" xr:uid="{00000000-0005-0000-0000-0000CD020000}"/>
    <cellStyle name="千分位 3 4 2 3 2 2" xfId="718" xr:uid="{00000000-0005-0000-0000-0000CE020000}"/>
    <cellStyle name="千分位 3 4 2 3 2 2 2" xfId="719" xr:uid="{00000000-0005-0000-0000-0000CF020000}"/>
    <cellStyle name="千分位 3 4 2 3 2 2 2 2" xfId="720" xr:uid="{00000000-0005-0000-0000-0000D0020000}"/>
    <cellStyle name="千分位 3 4 2 3 2 2 3" xfId="721" xr:uid="{00000000-0005-0000-0000-0000D1020000}"/>
    <cellStyle name="千分位 3 4 2 3 2 3" xfId="722" xr:uid="{00000000-0005-0000-0000-0000D2020000}"/>
    <cellStyle name="千分位 3 4 2 3 2 3 2" xfId="723" xr:uid="{00000000-0005-0000-0000-0000D3020000}"/>
    <cellStyle name="千分位 3 4 2 3 2 4" xfId="724" xr:uid="{00000000-0005-0000-0000-0000D4020000}"/>
    <cellStyle name="千分位 3 4 2 3 3" xfId="725" xr:uid="{00000000-0005-0000-0000-0000D5020000}"/>
    <cellStyle name="千分位 3 4 2 3 3 2" xfId="726" xr:uid="{00000000-0005-0000-0000-0000D6020000}"/>
    <cellStyle name="千分位 3 4 2 3 3 2 2" xfId="727" xr:uid="{00000000-0005-0000-0000-0000D7020000}"/>
    <cellStyle name="千分位 3 4 2 3 3 2 2 2" xfId="728" xr:uid="{00000000-0005-0000-0000-0000D8020000}"/>
    <cellStyle name="千分位 3 4 2 3 3 2 3" xfId="729" xr:uid="{00000000-0005-0000-0000-0000D9020000}"/>
    <cellStyle name="千分位 3 4 2 3 3 3" xfId="730" xr:uid="{00000000-0005-0000-0000-0000DA020000}"/>
    <cellStyle name="千分位 3 4 2 3 3 3 2" xfId="731" xr:uid="{00000000-0005-0000-0000-0000DB020000}"/>
    <cellStyle name="千分位 3 4 2 3 3 4" xfId="732" xr:uid="{00000000-0005-0000-0000-0000DC020000}"/>
    <cellStyle name="千分位 3 4 2 3 4" xfId="733" xr:uid="{00000000-0005-0000-0000-0000DD020000}"/>
    <cellStyle name="千分位 3 4 2 3 4 2" xfId="734" xr:uid="{00000000-0005-0000-0000-0000DE020000}"/>
    <cellStyle name="千分位 3 4 2 3 4 2 2" xfId="735" xr:uid="{00000000-0005-0000-0000-0000DF020000}"/>
    <cellStyle name="千分位 3 4 2 3 4 3" xfId="736" xr:uid="{00000000-0005-0000-0000-0000E0020000}"/>
    <cellStyle name="千分位 3 4 2 3 5" xfId="737" xr:uid="{00000000-0005-0000-0000-0000E1020000}"/>
    <cellStyle name="千分位 3 4 2 3 5 2" xfId="738" xr:uid="{00000000-0005-0000-0000-0000E2020000}"/>
    <cellStyle name="千分位 3 4 2 3 6" xfId="739" xr:uid="{00000000-0005-0000-0000-0000E3020000}"/>
    <cellStyle name="千分位 3 4 2 4" xfId="740" xr:uid="{00000000-0005-0000-0000-0000E4020000}"/>
    <cellStyle name="千分位 3 4 2 4 2" xfId="741" xr:uid="{00000000-0005-0000-0000-0000E5020000}"/>
    <cellStyle name="千分位 3 4 2 4 2 2" xfId="742" xr:uid="{00000000-0005-0000-0000-0000E6020000}"/>
    <cellStyle name="千分位 3 4 2 4 2 2 2" xfId="743" xr:uid="{00000000-0005-0000-0000-0000E7020000}"/>
    <cellStyle name="千分位 3 4 2 4 2 3" xfId="744" xr:uid="{00000000-0005-0000-0000-0000E8020000}"/>
    <cellStyle name="千分位 3 4 2 4 3" xfId="745" xr:uid="{00000000-0005-0000-0000-0000E9020000}"/>
    <cellStyle name="千分位 3 4 2 4 3 2" xfId="746" xr:uid="{00000000-0005-0000-0000-0000EA020000}"/>
    <cellStyle name="千分位 3 4 2 4 4" xfId="747" xr:uid="{00000000-0005-0000-0000-0000EB020000}"/>
    <cellStyle name="千分位 3 4 2 5" xfId="748" xr:uid="{00000000-0005-0000-0000-0000EC020000}"/>
    <cellStyle name="千分位 3 4 2 5 2" xfId="749" xr:uid="{00000000-0005-0000-0000-0000ED020000}"/>
    <cellStyle name="千分位 3 4 2 5 2 2" xfId="750" xr:uid="{00000000-0005-0000-0000-0000EE020000}"/>
    <cellStyle name="千分位 3 4 2 5 2 2 2" xfId="751" xr:uid="{00000000-0005-0000-0000-0000EF020000}"/>
    <cellStyle name="千分位 3 4 2 5 2 3" xfId="752" xr:uid="{00000000-0005-0000-0000-0000F0020000}"/>
    <cellStyle name="千分位 3 4 2 5 3" xfId="753" xr:uid="{00000000-0005-0000-0000-0000F1020000}"/>
    <cellStyle name="千分位 3 4 2 5 3 2" xfId="754" xr:uid="{00000000-0005-0000-0000-0000F2020000}"/>
    <cellStyle name="千分位 3 4 2 5 4" xfId="755" xr:uid="{00000000-0005-0000-0000-0000F3020000}"/>
    <cellStyle name="千分位 3 4 2 6" xfId="756" xr:uid="{00000000-0005-0000-0000-0000F4020000}"/>
    <cellStyle name="千分位 3 4 2 6 2" xfId="757" xr:uid="{00000000-0005-0000-0000-0000F5020000}"/>
    <cellStyle name="千分位 3 4 2 6 2 2" xfId="758" xr:uid="{00000000-0005-0000-0000-0000F6020000}"/>
    <cellStyle name="千分位 3 4 2 6 3" xfId="759" xr:uid="{00000000-0005-0000-0000-0000F7020000}"/>
    <cellStyle name="千分位 3 4 2 7" xfId="760" xr:uid="{00000000-0005-0000-0000-0000F8020000}"/>
    <cellStyle name="千分位 3 4 2 7 2" xfId="761" xr:uid="{00000000-0005-0000-0000-0000F9020000}"/>
    <cellStyle name="千分位 3 4 2 8" xfId="762" xr:uid="{00000000-0005-0000-0000-0000FA020000}"/>
    <cellStyle name="千分位 3 4 3" xfId="763" xr:uid="{00000000-0005-0000-0000-0000FB020000}"/>
    <cellStyle name="千分位 3 4 3 2" xfId="764" xr:uid="{00000000-0005-0000-0000-0000FC020000}"/>
    <cellStyle name="千分位 3 4 3 2 2" xfId="765" xr:uid="{00000000-0005-0000-0000-0000FD020000}"/>
    <cellStyle name="千分位 3 4 3 2 2 2" xfId="766" xr:uid="{00000000-0005-0000-0000-0000FE020000}"/>
    <cellStyle name="千分位 3 4 3 2 2 2 2" xfId="767" xr:uid="{00000000-0005-0000-0000-0000FF020000}"/>
    <cellStyle name="千分位 3 4 3 2 2 2 2 2" xfId="768" xr:uid="{00000000-0005-0000-0000-000000030000}"/>
    <cellStyle name="千分位 3 4 3 2 2 2 3" xfId="769" xr:uid="{00000000-0005-0000-0000-000001030000}"/>
    <cellStyle name="千分位 3 4 3 2 2 3" xfId="770" xr:uid="{00000000-0005-0000-0000-000002030000}"/>
    <cellStyle name="千分位 3 4 3 2 2 3 2" xfId="771" xr:uid="{00000000-0005-0000-0000-000003030000}"/>
    <cellStyle name="千分位 3 4 3 2 2 4" xfId="772" xr:uid="{00000000-0005-0000-0000-000004030000}"/>
    <cellStyle name="千分位 3 4 3 2 3" xfId="773" xr:uid="{00000000-0005-0000-0000-000005030000}"/>
    <cellStyle name="千分位 3 4 3 2 3 2" xfId="774" xr:uid="{00000000-0005-0000-0000-000006030000}"/>
    <cellStyle name="千分位 3 4 3 2 3 2 2" xfId="775" xr:uid="{00000000-0005-0000-0000-000007030000}"/>
    <cellStyle name="千分位 3 4 3 2 3 2 2 2" xfId="776" xr:uid="{00000000-0005-0000-0000-000008030000}"/>
    <cellStyle name="千分位 3 4 3 2 3 2 3" xfId="777" xr:uid="{00000000-0005-0000-0000-000009030000}"/>
    <cellStyle name="千分位 3 4 3 2 3 3" xfId="778" xr:uid="{00000000-0005-0000-0000-00000A030000}"/>
    <cellStyle name="千分位 3 4 3 2 3 3 2" xfId="779" xr:uid="{00000000-0005-0000-0000-00000B030000}"/>
    <cellStyle name="千分位 3 4 3 2 3 4" xfId="780" xr:uid="{00000000-0005-0000-0000-00000C030000}"/>
    <cellStyle name="千分位 3 4 3 2 4" xfId="781" xr:uid="{00000000-0005-0000-0000-00000D030000}"/>
    <cellStyle name="千分位 3 4 3 2 4 2" xfId="782" xr:uid="{00000000-0005-0000-0000-00000E030000}"/>
    <cellStyle name="千分位 3 4 3 2 4 2 2" xfId="783" xr:uid="{00000000-0005-0000-0000-00000F030000}"/>
    <cellStyle name="千分位 3 4 3 2 4 3" xfId="784" xr:uid="{00000000-0005-0000-0000-000010030000}"/>
    <cellStyle name="千分位 3 4 3 2 5" xfId="785" xr:uid="{00000000-0005-0000-0000-000011030000}"/>
    <cellStyle name="千分位 3 4 3 2 5 2" xfId="786" xr:uid="{00000000-0005-0000-0000-000012030000}"/>
    <cellStyle name="千分位 3 4 3 2 6" xfId="787" xr:uid="{00000000-0005-0000-0000-000013030000}"/>
    <cellStyle name="千分位 3 4 3 3" xfId="788" xr:uid="{00000000-0005-0000-0000-000014030000}"/>
    <cellStyle name="千分位 3 4 3 3 2" xfId="789" xr:uid="{00000000-0005-0000-0000-000015030000}"/>
    <cellStyle name="千分位 3 4 3 3 2 2" xfId="790" xr:uid="{00000000-0005-0000-0000-000016030000}"/>
    <cellStyle name="千分位 3 4 3 3 2 2 2" xfId="791" xr:uid="{00000000-0005-0000-0000-000017030000}"/>
    <cellStyle name="千分位 3 4 3 3 2 2 2 2" xfId="792" xr:uid="{00000000-0005-0000-0000-000018030000}"/>
    <cellStyle name="千分位 3 4 3 3 2 2 3" xfId="793" xr:uid="{00000000-0005-0000-0000-000019030000}"/>
    <cellStyle name="千分位 3 4 3 3 2 3" xfId="794" xr:uid="{00000000-0005-0000-0000-00001A030000}"/>
    <cellStyle name="千分位 3 4 3 3 2 3 2" xfId="795" xr:uid="{00000000-0005-0000-0000-00001B030000}"/>
    <cellStyle name="千分位 3 4 3 3 2 4" xfId="796" xr:uid="{00000000-0005-0000-0000-00001C030000}"/>
    <cellStyle name="千分位 3 4 3 3 3" xfId="797" xr:uid="{00000000-0005-0000-0000-00001D030000}"/>
    <cellStyle name="千分位 3 4 3 3 3 2" xfId="798" xr:uid="{00000000-0005-0000-0000-00001E030000}"/>
    <cellStyle name="千分位 3 4 3 3 3 2 2" xfId="799" xr:uid="{00000000-0005-0000-0000-00001F030000}"/>
    <cellStyle name="千分位 3 4 3 3 3 2 2 2" xfId="800" xr:uid="{00000000-0005-0000-0000-000020030000}"/>
    <cellStyle name="千分位 3 4 3 3 3 2 3" xfId="801" xr:uid="{00000000-0005-0000-0000-000021030000}"/>
    <cellStyle name="千分位 3 4 3 3 3 3" xfId="802" xr:uid="{00000000-0005-0000-0000-000022030000}"/>
    <cellStyle name="千分位 3 4 3 3 3 3 2" xfId="803" xr:uid="{00000000-0005-0000-0000-000023030000}"/>
    <cellStyle name="千分位 3 4 3 3 3 4" xfId="804" xr:uid="{00000000-0005-0000-0000-000024030000}"/>
    <cellStyle name="千分位 3 4 3 3 4" xfId="805" xr:uid="{00000000-0005-0000-0000-000025030000}"/>
    <cellStyle name="千分位 3 4 3 3 4 2" xfId="806" xr:uid="{00000000-0005-0000-0000-000026030000}"/>
    <cellStyle name="千分位 3 4 3 3 4 2 2" xfId="807" xr:uid="{00000000-0005-0000-0000-000027030000}"/>
    <cellStyle name="千分位 3 4 3 3 4 3" xfId="808" xr:uid="{00000000-0005-0000-0000-000028030000}"/>
    <cellStyle name="千分位 3 4 3 3 5" xfId="809" xr:uid="{00000000-0005-0000-0000-000029030000}"/>
    <cellStyle name="千分位 3 4 3 3 5 2" xfId="810" xr:uid="{00000000-0005-0000-0000-00002A030000}"/>
    <cellStyle name="千分位 3 4 3 3 6" xfId="811" xr:uid="{00000000-0005-0000-0000-00002B030000}"/>
    <cellStyle name="千分位 3 4 3 4" xfId="812" xr:uid="{00000000-0005-0000-0000-00002C030000}"/>
    <cellStyle name="千分位 3 4 3 4 2" xfId="813" xr:uid="{00000000-0005-0000-0000-00002D030000}"/>
    <cellStyle name="千分位 3 4 3 4 2 2" xfId="814" xr:uid="{00000000-0005-0000-0000-00002E030000}"/>
    <cellStyle name="千分位 3 4 3 4 2 2 2" xfId="815" xr:uid="{00000000-0005-0000-0000-00002F030000}"/>
    <cellStyle name="千分位 3 4 3 4 2 3" xfId="816" xr:uid="{00000000-0005-0000-0000-000030030000}"/>
    <cellStyle name="千分位 3 4 3 4 3" xfId="817" xr:uid="{00000000-0005-0000-0000-000031030000}"/>
    <cellStyle name="千分位 3 4 3 4 3 2" xfId="818" xr:uid="{00000000-0005-0000-0000-000032030000}"/>
    <cellStyle name="千分位 3 4 3 4 4" xfId="819" xr:uid="{00000000-0005-0000-0000-000033030000}"/>
    <cellStyle name="千分位 3 4 3 5" xfId="820" xr:uid="{00000000-0005-0000-0000-000034030000}"/>
    <cellStyle name="千分位 3 4 3 5 2" xfId="821" xr:uid="{00000000-0005-0000-0000-000035030000}"/>
    <cellStyle name="千分位 3 4 3 5 2 2" xfId="822" xr:uid="{00000000-0005-0000-0000-000036030000}"/>
    <cellStyle name="千分位 3 4 3 5 2 2 2" xfId="823" xr:uid="{00000000-0005-0000-0000-000037030000}"/>
    <cellStyle name="千分位 3 4 3 5 2 3" xfId="824" xr:uid="{00000000-0005-0000-0000-000038030000}"/>
    <cellStyle name="千分位 3 4 3 5 3" xfId="825" xr:uid="{00000000-0005-0000-0000-000039030000}"/>
    <cellStyle name="千分位 3 4 3 5 3 2" xfId="826" xr:uid="{00000000-0005-0000-0000-00003A030000}"/>
    <cellStyle name="千分位 3 4 3 5 4" xfId="827" xr:uid="{00000000-0005-0000-0000-00003B030000}"/>
    <cellStyle name="千分位 3 4 3 6" xfId="828" xr:uid="{00000000-0005-0000-0000-00003C030000}"/>
    <cellStyle name="千分位 3 4 3 6 2" xfId="829" xr:uid="{00000000-0005-0000-0000-00003D030000}"/>
    <cellStyle name="千分位 3 4 3 6 2 2" xfId="830" xr:uid="{00000000-0005-0000-0000-00003E030000}"/>
    <cellStyle name="千分位 3 4 3 6 3" xfId="831" xr:uid="{00000000-0005-0000-0000-00003F030000}"/>
    <cellStyle name="千分位 3 4 3 7" xfId="832" xr:uid="{00000000-0005-0000-0000-000040030000}"/>
    <cellStyle name="千分位 3 4 3 7 2" xfId="833" xr:uid="{00000000-0005-0000-0000-000041030000}"/>
    <cellStyle name="千分位 3 4 3 8" xfId="834" xr:uid="{00000000-0005-0000-0000-000042030000}"/>
    <cellStyle name="千分位 3 4 4" xfId="835" xr:uid="{00000000-0005-0000-0000-000043030000}"/>
    <cellStyle name="千分位 3 4 4 2" xfId="836" xr:uid="{00000000-0005-0000-0000-000044030000}"/>
    <cellStyle name="千分位 3 4 4 2 2" xfId="837" xr:uid="{00000000-0005-0000-0000-000045030000}"/>
    <cellStyle name="千分位 3 4 4 2 2 2" xfId="838" xr:uid="{00000000-0005-0000-0000-000046030000}"/>
    <cellStyle name="千分位 3 4 4 2 2 2 2" xfId="839" xr:uid="{00000000-0005-0000-0000-000047030000}"/>
    <cellStyle name="千分位 3 4 4 2 2 3" xfId="840" xr:uid="{00000000-0005-0000-0000-000048030000}"/>
    <cellStyle name="千分位 3 4 4 2 3" xfId="841" xr:uid="{00000000-0005-0000-0000-000049030000}"/>
    <cellStyle name="千分位 3 4 4 2 3 2" xfId="842" xr:uid="{00000000-0005-0000-0000-00004A030000}"/>
    <cellStyle name="千分位 3 4 4 2 4" xfId="843" xr:uid="{00000000-0005-0000-0000-00004B030000}"/>
    <cellStyle name="千分位 3 4 4 3" xfId="844" xr:uid="{00000000-0005-0000-0000-00004C030000}"/>
    <cellStyle name="千分位 3 4 4 3 2" xfId="845" xr:uid="{00000000-0005-0000-0000-00004D030000}"/>
    <cellStyle name="千分位 3 4 4 3 2 2" xfId="846" xr:uid="{00000000-0005-0000-0000-00004E030000}"/>
    <cellStyle name="千分位 3 4 4 3 2 2 2" xfId="847" xr:uid="{00000000-0005-0000-0000-00004F030000}"/>
    <cellStyle name="千分位 3 4 4 3 2 3" xfId="848" xr:uid="{00000000-0005-0000-0000-000050030000}"/>
    <cellStyle name="千分位 3 4 4 3 3" xfId="849" xr:uid="{00000000-0005-0000-0000-000051030000}"/>
    <cellStyle name="千分位 3 4 4 3 3 2" xfId="850" xr:uid="{00000000-0005-0000-0000-000052030000}"/>
    <cellStyle name="千分位 3 4 4 3 4" xfId="851" xr:uid="{00000000-0005-0000-0000-000053030000}"/>
    <cellStyle name="千分位 3 4 4 4" xfId="852" xr:uid="{00000000-0005-0000-0000-000054030000}"/>
    <cellStyle name="千分位 3 4 4 4 2" xfId="853" xr:uid="{00000000-0005-0000-0000-000055030000}"/>
    <cellStyle name="千分位 3 4 4 4 2 2" xfId="854" xr:uid="{00000000-0005-0000-0000-000056030000}"/>
    <cellStyle name="千分位 3 4 4 4 3" xfId="855" xr:uid="{00000000-0005-0000-0000-000057030000}"/>
    <cellStyle name="千分位 3 4 4 5" xfId="856" xr:uid="{00000000-0005-0000-0000-000058030000}"/>
    <cellStyle name="千分位 3 4 4 5 2" xfId="857" xr:uid="{00000000-0005-0000-0000-000059030000}"/>
    <cellStyle name="千分位 3 4 4 6" xfId="858" xr:uid="{00000000-0005-0000-0000-00005A030000}"/>
    <cellStyle name="千分位 3 4 5" xfId="859" xr:uid="{00000000-0005-0000-0000-00005B030000}"/>
    <cellStyle name="千分位 3 4 5 2" xfId="860" xr:uid="{00000000-0005-0000-0000-00005C030000}"/>
    <cellStyle name="千分位 3 4 5 2 2" xfId="861" xr:uid="{00000000-0005-0000-0000-00005D030000}"/>
    <cellStyle name="千分位 3 4 5 2 2 2" xfId="862" xr:uid="{00000000-0005-0000-0000-00005E030000}"/>
    <cellStyle name="千分位 3 4 5 2 2 2 2" xfId="863" xr:uid="{00000000-0005-0000-0000-00005F030000}"/>
    <cellStyle name="千分位 3 4 5 2 2 3" xfId="864" xr:uid="{00000000-0005-0000-0000-000060030000}"/>
    <cellStyle name="千分位 3 4 5 2 3" xfId="865" xr:uid="{00000000-0005-0000-0000-000061030000}"/>
    <cellStyle name="千分位 3 4 5 2 3 2" xfId="866" xr:uid="{00000000-0005-0000-0000-000062030000}"/>
    <cellStyle name="千分位 3 4 5 2 4" xfId="867" xr:uid="{00000000-0005-0000-0000-000063030000}"/>
    <cellStyle name="千分位 3 4 5 3" xfId="868" xr:uid="{00000000-0005-0000-0000-000064030000}"/>
    <cellStyle name="千分位 3 4 5 3 2" xfId="869" xr:uid="{00000000-0005-0000-0000-000065030000}"/>
    <cellStyle name="千分位 3 4 5 3 2 2" xfId="870" xr:uid="{00000000-0005-0000-0000-000066030000}"/>
    <cellStyle name="千分位 3 4 5 3 2 2 2" xfId="871" xr:uid="{00000000-0005-0000-0000-000067030000}"/>
    <cellStyle name="千分位 3 4 5 3 2 3" xfId="872" xr:uid="{00000000-0005-0000-0000-000068030000}"/>
    <cellStyle name="千分位 3 4 5 3 3" xfId="873" xr:uid="{00000000-0005-0000-0000-000069030000}"/>
    <cellStyle name="千分位 3 4 5 3 3 2" xfId="874" xr:uid="{00000000-0005-0000-0000-00006A030000}"/>
    <cellStyle name="千分位 3 4 5 3 4" xfId="875" xr:uid="{00000000-0005-0000-0000-00006B030000}"/>
    <cellStyle name="千分位 3 4 5 4" xfId="876" xr:uid="{00000000-0005-0000-0000-00006C030000}"/>
    <cellStyle name="千分位 3 4 5 4 2" xfId="877" xr:uid="{00000000-0005-0000-0000-00006D030000}"/>
    <cellStyle name="千分位 3 4 5 4 2 2" xfId="878" xr:uid="{00000000-0005-0000-0000-00006E030000}"/>
    <cellStyle name="千分位 3 4 5 4 3" xfId="879" xr:uid="{00000000-0005-0000-0000-00006F030000}"/>
    <cellStyle name="千分位 3 4 5 5" xfId="880" xr:uid="{00000000-0005-0000-0000-000070030000}"/>
    <cellStyle name="千分位 3 4 5 5 2" xfId="881" xr:uid="{00000000-0005-0000-0000-000071030000}"/>
    <cellStyle name="千分位 3 4 5 6" xfId="882" xr:uid="{00000000-0005-0000-0000-000072030000}"/>
    <cellStyle name="千分位 3 4 6" xfId="883" xr:uid="{00000000-0005-0000-0000-000073030000}"/>
    <cellStyle name="千分位 3 4 6 2" xfId="884" xr:uid="{00000000-0005-0000-0000-000074030000}"/>
    <cellStyle name="千分位 3 4 6 2 2" xfId="885" xr:uid="{00000000-0005-0000-0000-000075030000}"/>
    <cellStyle name="千分位 3 4 6 2 2 2" xfId="886" xr:uid="{00000000-0005-0000-0000-000076030000}"/>
    <cellStyle name="千分位 3 4 6 2 3" xfId="887" xr:uid="{00000000-0005-0000-0000-000077030000}"/>
    <cellStyle name="千分位 3 4 6 3" xfId="888" xr:uid="{00000000-0005-0000-0000-000078030000}"/>
    <cellStyle name="千分位 3 4 6 3 2" xfId="889" xr:uid="{00000000-0005-0000-0000-000079030000}"/>
    <cellStyle name="千分位 3 4 6 4" xfId="890" xr:uid="{00000000-0005-0000-0000-00007A030000}"/>
    <cellStyle name="千分位 3 4 7" xfId="891" xr:uid="{00000000-0005-0000-0000-00007B030000}"/>
    <cellStyle name="千分位 3 4 7 2" xfId="892" xr:uid="{00000000-0005-0000-0000-00007C030000}"/>
    <cellStyle name="千分位 3 4 7 2 2" xfId="893" xr:uid="{00000000-0005-0000-0000-00007D030000}"/>
    <cellStyle name="千分位 3 4 7 2 2 2" xfId="894" xr:uid="{00000000-0005-0000-0000-00007E030000}"/>
    <cellStyle name="千分位 3 4 7 2 3" xfId="895" xr:uid="{00000000-0005-0000-0000-00007F030000}"/>
    <cellStyle name="千分位 3 4 7 3" xfId="896" xr:uid="{00000000-0005-0000-0000-000080030000}"/>
    <cellStyle name="千分位 3 4 7 3 2" xfId="897" xr:uid="{00000000-0005-0000-0000-000081030000}"/>
    <cellStyle name="千分位 3 4 7 4" xfId="898" xr:uid="{00000000-0005-0000-0000-000082030000}"/>
    <cellStyle name="千分位 3 4 8" xfId="899" xr:uid="{00000000-0005-0000-0000-000083030000}"/>
    <cellStyle name="千分位 3 4 8 2" xfId="900" xr:uid="{00000000-0005-0000-0000-000084030000}"/>
    <cellStyle name="千分位 3 4 8 2 2" xfId="901" xr:uid="{00000000-0005-0000-0000-000085030000}"/>
    <cellStyle name="千分位 3 4 8 3" xfId="902" xr:uid="{00000000-0005-0000-0000-000086030000}"/>
    <cellStyle name="千分位 3 4 9" xfId="903" xr:uid="{00000000-0005-0000-0000-000087030000}"/>
    <cellStyle name="千分位 3 4 9 2" xfId="904" xr:uid="{00000000-0005-0000-0000-000088030000}"/>
    <cellStyle name="千分位 3 5" xfId="905" xr:uid="{00000000-0005-0000-0000-000089030000}"/>
    <cellStyle name="千分位 3 5 2" xfId="906" xr:uid="{00000000-0005-0000-0000-00008A030000}"/>
    <cellStyle name="千分位 3 5 2 2" xfId="907" xr:uid="{00000000-0005-0000-0000-00008B030000}"/>
    <cellStyle name="千分位 3 5 2 2 2" xfId="908" xr:uid="{00000000-0005-0000-0000-00008C030000}"/>
    <cellStyle name="千分位 3 5 2 2 2 2" xfId="909" xr:uid="{00000000-0005-0000-0000-00008D030000}"/>
    <cellStyle name="千分位 3 5 2 2 2 2 2" xfId="910" xr:uid="{00000000-0005-0000-0000-00008E030000}"/>
    <cellStyle name="千分位 3 5 2 2 2 2 2 2" xfId="911" xr:uid="{00000000-0005-0000-0000-00008F030000}"/>
    <cellStyle name="千分位 3 5 2 2 2 2 3" xfId="912" xr:uid="{00000000-0005-0000-0000-000090030000}"/>
    <cellStyle name="千分位 3 5 2 2 2 3" xfId="913" xr:uid="{00000000-0005-0000-0000-000091030000}"/>
    <cellStyle name="千分位 3 5 2 2 2 3 2" xfId="914" xr:uid="{00000000-0005-0000-0000-000092030000}"/>
    <cellStyle name="千分位 3 5 2 2 2 4" xfId="915" xr:uid="{00000000-0005-0000-0000-000093030000}"/>
    <cellStyle name="千分位 3 5 2 2 3" xfId="916" xr:uid="{00000000-0005-0000-0000-000094030000}"/>
    <cellStyle name="千分位 3 5 2 2 3 2" xfId="917" xr:uid="{00000000-0005-0000-0000-000095030000}"/>
    <cellStyle name="千分位 3 5 2 2 3 2 2" xfId="918" xr:uid="{00000000-0005-0000-0000-000096030000}"/>
    <cellStyle name="千分位 3 5 2 2 3 2 2 2" xfId="919" xr:uid="{00000000-0005-0000-0000-000097030000}"/>
    <cellStyle name="千分位 3 5 2 2 3 2 3" xfId="920" xr:uid="{00000000-0005-0000-0000-000098030000}"/>
    <cellStyle name="千分位 3 5 2 2 3 3" xfId="921" xr:uid="{00000000-0005-0000-0000-000099030000}"/>
    <cellStyle name="千分位 3 5 2 2 3 3 2" xfId="922" xr:uid="{00000000-0005-0000-0000-00009A030000}"/>
    <cellStyle name="千分位 3 5 2 2 3 4" xfId="923" xr:uid="{00000000-0005-0000-0000-00009B030000}"/>
    <cellStyle name="千分位 3 5 2 2 4" xfId="924" xr:uid="{00000000-0005-0000-0000-00009C030000}"/>
    <cellStyle name="千分位 3 5 2 2 4 2" xfId="925" xr:uid="{00000000-0005-0000-0000-00009D030000}"/>
    <cellStyle name="千分位 3 5 2 2 4 2 2" xfId="926" xr:uid="{00000000-0005-0000-0000-00009E030000}"/>
    <cellStyle name="千分位 3 5 2 2 4 3" xfId="927" xr:uid="{00000000-0005-0000-0000-00009F030000}"/>
    <cellStyle name="千分位 3 5 2 2 5" xfId="928" xr:uid="{00000000-0005-0000-0000-0000A0030000}"/>
    <cellStyle name="千分位 3 5 2 2 5 2" xfId="929" xr:uid="{00000000-0005-0000-0000-0000A1030000}"/>
    <cellStyle name="千分位 3 5 2 2 6" xfId="930" xr:uid="{00000000-0005-0000-0000-0000A2030000}"/>
    <cellStyle name="千分位 3 5 2 3" xfId="931" xr:uid="{00000000-0005-0000-0000-0000A3030000}"/>
    <cellStyle name="千分位 3 5 2 3 2" xfId="932" xr:uid="{00000000-0005-0000-0000-0000A4030000}"/>
    <cellStyle name="千分位 3 5 2 3 2 2" xfId="933" xr:uid="{00000000-0005-0000-0000-0000A5030000}"/>
    <cellStyle name="千分位 3 5 2 3 2 2 2" xfId="934" xr:uid="{00000000-0005-0000-0000-0000A6030000}"/>
    <cellStyle name="千分位 3 5 2 3 2 2 2 2" xfId="935" xr:uid="{00000000-0005-0000-0000-0000A7030000}"/>
    <cellStyle name="千分位 3 5 2 3 2 2 3" xfId="936" xr:uid="{00000000-0005-0000-0000-0000A8030000}"/>
    <cellStyle name="千分位 3 5 2 3 2 3" xfId="937" xr:uid="{00000000-0005-0000-0000-0000A9030000}"/>
    <cellStyle name="千分位 3 5 2 3 2 3 2" xfId="938" xr:uid="{00000000-0005-0000-0000-0000AA030000}"/>
    <cellStyle name="千分位 3 5 2 3 2 4" xfId="939" xr:uid="{00000000-0005-0000-0000-0000AB030000}"/>
    <cellStyle name="千分位 3 5 2 3 3" xfId="940" xr:uid="{00000000-0005-0000-0000-0000AC030000}"/>
    <cellStyle name="千分位 3 5 2 3 3 2" xfId="941" xr:uid="{00000000-0005-0000-0000-0000AD030000}"/>
    <cellStyle name="千分位 3 5 2 3 3 2 2" xfId="942" xr:uid="{00000000-0005-0000-0000-0000AE030000}"/>
    <cellStyle name="千分位 3 5 2 3 3 2 2 2" xfId="943" xr:uid="{00000000-0005-0000-0000-0000AF030000}"/>
    <cellStyle name="千分位 3 5 2 3 3 2 3" xfId="944" xr:uid="{00000000-0005-0000-0000-0000B0030000}"/>
    <cellStyle name="千分位 3 5 2 3 3 3" xfId="945" xr:uid="{00000000-0005-0000-0000-0000B1030000}"/>
    <cellStyle name="千分位 3 5 2 3 3 3 2" xfId="946" xr:uid="{00000000-0005-0000-0000-0000B2030000}"/>
    <cellStyle name="千分位 3 5 2 3 3 4" xfId="947" xr:uid="{00000000-0005-0000-0000-0000B3030000}"/>
    <cellStyle name="千分位 3 5 2 3 4" xfId="948" xr:uid="{00000000-0005-0000-0000-0000B4030000}"/>
    <cellStyle name="千分位 3 5 2 3 4 2" xfId="949" xr:uid="{00000000-0005-0000-0000-0000B5030000}"/>
    <cellStyle name="千分位 3 5 2 3 4 2 2" xfId="950" xr:uid="{00000000-0005-0000-0000-0000B6030000}"/>
    <cellStyle name="千分位 3 5 2 3 4 3" xfId="951" xr:uid="{00000000-0005-0000-0000-0000B7030000}"/>
    <cellStyle name="千分位 3 5 2 3 5" xfId="952" xr:uid="{00000000-0005-0000-0000-0000B8030000}"/>
    <cellStyle name="千分位 3 5 2 3 5 2" xfId="953" xr:uid="{00000000-0005-0000-0000-0000B9030000}"/>
    <cellStyle name="千分位 3 5 2 3 6" xfId="954" xr:uid="{00000000-0005-0000-0000-0000BA030000}"/>
    <cellStyle name="千分位 3 5 2 4" xfId="955" xr:uid="{00000000-0005-0000-0000-0000BB030000}"/>
    <cellStyle name="千分位 3 5 2 4 2" xfId="956" xr:uid="{00000000-0005-0000-0000-0000BC030000}"/>
    <cellStyle name="千分位 3 5 2 4 2 2" xfId="957" xr:uid="{00000000-0005-0000-0000-0000BD030000}"/>
    <cellStyle name="千分位 3 5 2 4 2 2 2" xfId="958" xr:uid="{00000000-0005-0000-0000-0000BE030000}"/>
    <cellStyle name="千分位 3 5 2 4 2 3" xfId="959" xr:uid="{00000000-0005-0000-0000-0000BF030000}"/>
    <cellStyle name="千分位 3 5 2 4 3" xfId="960" xr:uid="{00000000-0005-0000-0000-0000C0030000}"/>
    <cellStyle name="千分位 3 5 2 4 3 2" xfId="961" xr:uid="{00000000-0005-0000-0000-0000C1030000}"/>
    <cellStyle name="千分位 3 5 2 4 4" xfId="962" xr:uid="{00000000-0005-0000-0000-0000C2030000}"/>
    <cellStyle name="千分位 3 5 2 5" xfId="963" xr:uid="{00000000-0005-0000-0000-0000C3030000}"/>
    <cellStyle name="千分位 3 5 2 5 2" xfId="964" xr:uid="{00000000-0005-0000-0000-0000C4030000}"/>
    <cellStyle name="千分位 3 5 2 5 2 2" xfId="965" xr:uid="{00000000-0005-0000-0000-0000C5030000}"/>
    <cellStyle name="千分位 3 5 2 5 2 2 2" xfId="966" xr:uid="{00000000-0005-0000-0000-0000C6030000}"/>
    <cellStyle name="千分位 3 5 2 5 2 3" xfId="967" xr:uid="{00000000-0005-0000-0000-0000C7030000}"/>
    <cellStyle name="千分位 3 5 2 5 3" xfId="968" xr:uid="{00000000-0005-0000-0000-0000C8030000}"/>
    <cellStyle name="千分位 3 5 2 5 3 2" xfId="969" xr:uid="{00000000-0005-0000-0000-0000C9030000}"/>
    <cellStyle name="千分位 3 5 2 5 4" xfId="970" xr:uid="{00000000-0005-0000-0000-0000CA030000}"/>
    <cellStyle name="千分位 3 5 2 6" xfId="971" xr:uid="{00000000-0005-0000-0000-0000CB030000}"/>
    <cellStyle name="千分位 3 5 2 6 2" xfId="972" xr:uid="{00000000-0005-0000-0000-0000CC030000}"/>
    <cellStyle name="千分位 3 5 2 6 2 2" xfId="973" xr:uid="{00000000-0005-0000-0000-0000CD030000}"/>
    <cellStyle name="千分位 3 5 2 6 3" xfId="974" xr:uid="{00000000-0005-0000-0000-0000CE030000}"/>
    <cellStyle name="千分位 3 5 2 7" xfId="975" xr:uid="{00000000-0005-0000-0000-0000CF030000}"/>
    <cellStyle name="千分位 3 5 2 7 2" xfId="976" xr:uid="{00000000-0005-0000-0000-0000D0030000}"/>
    <cellStyle name="千分位 3 5 2 8" xfId="977" xr:uid="{00000000-0005-0000-0000-0000D1030000}"/>
    <cellStyle name="千分位 3 5 3" xfId="978" xr:uid="{00000000-0005-0000-0000-0000D2030000}"/>
    <cellStyle name="千分位 3 5 3 2" xfId="979" xr:uid="{00000000-0005-0000-0000-0000D3030000}"/>
    <cellStyle name="千分位 3 5 3 2 2" xfId="980" xr:uid="{00000000-0005-0000-0000-0000D4030000}"/>
    <cellStyle name="千分位 3 5 3 2 2 2" xfId="981" xr:uid="{00000000-0005-0000-0000-0000D5030000}"/>
    <cellStyle name="千分位 3 5 3 2 2 2 2" xfId="982" xr:uid="{00000000-0005-0000-0000-0000D6030000}"/>
    <cellStyle name="千分位 3 5 3 2 2 3" xfId="983" xr:uid="{00000000-0005-0000-0000-0000D7030000}"/>
    <cellStyle name="千分位 3 5 3 2 3" xfId="984" xr:uid="{00000000-0005-0000-0000-0000D8030000}"/>
    <cellStyle name="千分位 3 5 3 2 3 2" xfId="985" xr:uid="{00000000-0005-0000-0000-0000D9030000}"/>
    <cellStyle name="千分位 3 5 3 2 4" xfId="986" xr:uid="{00000000-0005-0000-0000-0000DA030000}"/>
    <cellStyle name="千分位 3 5 3 3" xfId="987" xr:uid="{00000000-0005-0000-0000-0000DB030000}"/>
    <cellStyle name="千分位 3 5 3 3 2" xfId="988" xr:uid="{00000000-0005-0000-0000-0000DC030000}"/>
    <cellStyle name="千分位 3 5 3 3 2 2" xfId="989" xr:uid="{00000000-0005-0000-0000-0000DD030000}"/>
    <cellStyle name="千分位 3 5 3 3 2 2 2" xfId="990" xr:uid="{00000000-0005-0000-0000-0000DE030000}"/>
    <cellStyle name="千分位 3 5 3 3 2 3" xfId="991" xr:uid="{00000000-0005-0000-0000-0000DF030000}"/>
    <cellStyle name="千分位 3 5 3 3 3" xfId="992" xr:uid="{00000000-0005-0000-0000-0000E0030000}"/>
    <cellStyle name="千分位 3 5 3 3 3 2" xfId="993" xr:uid="{00000000-0005-0000-0000-0000E1030000}"/>
    <cellStyle name="千分位 3 5 3 3 4" xfId="994" xr:uid="{00000000-0005-0000-0000-0000E2030000}"/>
    <cellStyle name="千分位 3 5 3 4" xfId="995" xr:uid="{00000000-0005-0000-0000-0000E3030000}"/>
    <cellStyle name="千分位 3 5 3 4 2" xfId="996" xr:uid="{00000000-0005-0000-0000-0000E4030000}"/>
    <cellStyle name="千分位 3 5 3 4 2 2" xfId="997" xr:uid="{00000000-0005-0000-0000-0000E5030000}"/>
    <cellStyle name="千分位 3 5 3 4 3" xfId="998" xr:uid="{00000000-0005-0000-0000-0000E6030000}"/>
    <cellStyle name="千分位 3 5 3 5" xfId="999" xr:uid="{00000000-0005-0000-0000-0000E7030000}"/>
    <cellStyle name="千分位 3 5 3 5 2" xfId="1000" xr:uid="{00000000-0005-0000-0000-0000E8030000}"/>
    <cellStyle name="千分位 3 5 3 6" xfId="1001" xr:uid="{00000000-0005-0000-0000-0000E9030000}"/>
    <cellStyle name="千分位 3 5 4" xfId="1002" xr:uid="{00000000-0005-0000-0000-0000EA030000}"/>
    <cellStyle name="千分位 3 5 4 2" xfId="1003" xr:uid="{00000000-0005-0000-0000-0000EB030000}"/>
    <cellStyle name="千分位 3 5 4 2 2" xfId="1004" xr:uid="{00000000-0005-0000-0000-0000EC030000}"/>
    <cellStyle name="千分位 3 5 4 2 2 2" xfId="1005" xr:uid="{00000000-0005-0000-0000-0000ED030000}"/>
    <cellStyle name="千分位 3 5 4 2 2 2 2" xfId="1006" xr:uid="{00000000-0005-0000-0000-0000EE030000}"/>
    <cellStyle name="千分位 3 5 4 2 2 3" xfId="1007" xr:uid="{00000000-0005-0000-0000-0000EF030000}"/>
    <cellStyle name="千分位 3 5 4 2 3" xfId="1008" xr:uid="{00000000-0005-0000-0000-0000F0030000}"/>
    <cellStyle name="千分位 3 5 4 2 3 2" xfId="1009" xr:uid="{00000000-0005-0000-0000-0000F1030000}"/>
    <cellStyle name="千分位 3 5 4 2 4" xfId="1010" xr:uid="{00000000-0005-0000-0000-0000F2030000}"/>
    <cellStyle name="千分位 3 5 4 3" xfId="1011" xr:uid="{00000000-0005-0000-0000-0000F3030000}"/>
    <cellStyle name="千分位 3 5 4 3 2" xfId="1012" xr:uid="{00000000-0005-0000-0000-0000F4030000}"/>
    <cellStyle name="千分位 3 5 4 3 2 2" xfId="1013" xr:uid="{00000000-0005-0000-0000-0000F5030000}"/>
    <cellStyle name="千分位 3 5 4 3 2 2 2" xfId="1014" xr:uid="{00000000-0005-0000-0000-0000F6030000}"/>
    <cellStyle name="千分位 3 5 4 3 2 3" xfId="1015" xr:uid="{00000000-0005-0000-0000-0000F7030000}"/>
    <cellStyle name="千分位 3 5 4 3 3" xfId="1016" xr:uid="{00000000-0005-0000-0000-0000F8030000}"/>
    <cellStyle name="千分位 3 5 4 3 3 2" xfId="1017" xr:uid="{00000000-0005-0000-0000-0000F9030000}"/>
    <cellStyle name="千分位 3 5 4 3 4" xfId="1018" xr:uid="{00000000-0005-0000-0000-0000FA030000}"/>
    <cellStyle name="千分位 3 5 4 4" xfId="1019" xr:uid="{00000000-0005-0000-0000-0000FB030000}"/>
    <cellStyle name="千分位 3 5 4 4 2" xfId="1020" xr:uid="{00000000-0005-0000-0000-0000FC030000}"/>
    <cellStyle name="千分位 3 5 4 4 2 2" xfId="1021" xr:uid="{00000000-0005-0000-0000-0000FD030000}"/>
    <cellStyle name="千分位 3 5 4 4 3" xfId="1022" xr:uid="{00000000-0005-0000-0000-0000FE030000}"/>
    <cellStyle name="千分位 3 5 4 5" xfId="1023" xr:uid="{00000000-0005-0000-0000-0000FF030000}"/>
    <cellStyle name="千分位 3 5 4 5 2" xfId="1024" xr:uid="{00000000-0005-0000-0000-000000040000}"/>
    <cellStyle name="千分位 3 5 4 6" xfId="1025" xr:uid="{00000000-0005-0000-0000-000001040000}"/>
    <cellStyle name="千分位 3 5 5" xfId="1026" xr:uid="{00000000-0005-0000-0000-000002040000}"/>
    <cellStyle name="千分位 3 5 5 2" xfId="1027" xr:uid="{00000000-0005-0000-0000-000003040000}"/>
    <cellStyle name="千分位 3 5 5 2 2" xfId="1028" xr:uid="{00000000-0005-0000-0000-000004040000}"/>
    <cellStyle name="千分位 3 5 5 2 2 2" xfId="1029" xr:uid="{00000000-0005-0000-0000-000005040000}"/>
    <cellStyle name="千分位 3 5 5 2 3" xfId="1030" xr:uid="{00000000-0005-0000-0000-000006040000}"/>
    <cellStyle name="千分位 3 5 5 3" xfId="1031" xr:uid="{00000000-0005-0000-0000-000007040000}"/>
    <cellStyle name="千分位 3 5 5 3 2" xfId="1032" xr:uid="{00000000-0005-0000-0000-000008040000}"/>
    <cellStyle name="千分位 3 5 5 4" xfId="1033" xr:uid="{00000000-0005-0000-0000-000009040000}"/>
    <cellStyle name="千分位 3 5 6" xfId="1034" xr:uid="{00000000-0005-0000-0000-00000A040000}"/>
    <cellStyle name="千分位 3 5 6 2" xfId="1035" xr:uid="{00000000-0005-0000-0000-00000B040000}"/>
    <cellStyle name="千分位 3 5 6 2 2" xfId="1036" xr:uid="{00000000-0005-0000-0000-00000C040000}"/>
    <cellStyle name="千分位 3 5 6 2 2 2" xfId="1037" xr:uid="{00000000-0005-0000-0000-00000D040000}"/>
    <cellStyle name="千分位 3 5 6 2 3" xfId="1038" xr:uid="{00000000-0005-0000-0000-00000E040000}"/>
    <cellStyle name="千分位 3 5 6 3" xfId="1039" xr:uid="{00000000-0005-0000-0000-00000F040000}"/>
    <cellStyle name="千分位 3 5 6 3 2" xfId="1040" xr:uid="{00000000-0005-0000-0000-000010040000}"/>
    <cellStyle name="千分位 3 5 6 4" xfId="1041" xr:uid="{00000000-0005-0000-0000-000011040000}"/>
    <cellStyle name="千分位 3 5 7" xfId="1042" xr:uid="{00000000-0005-0000-0000-000012040000}"/>
    <cellStyle name="千分位 3 5 7 2" xfId="1043" xr:uid="{00000000-0005-0000-0000-000013040000}"/>
    <cellStyle name="千分位 3 5 7 2 2" xfId="1044" xr:uid="{00000000-0005-0000-0000-000014040000}"/>
    <cellStyle name="千分位 3 5 7 3" xfId="1045" xr:uid="{00000000-0005-0000-0000-000015040000}"/>
    <cellStyle name="千分位 3 5 8" xfId="1046" xr:uid="{00000000-0005-0000-0000-000016040000}"/>
    <cellStyle name="千分位 3 5 8 2" xfId="1047" xr:uid="{00000000-0005-0000-0000-000017040000}"/>
    <cellStyle name="千分位 3 5 9" xfId="1048" xr:uid="{00000000-0005-0000-0000-000018040000}"/>
    <cellStyle name="千分位 3 6" xfId="1049" xr:uid="{00000000-0005-0000-0000-000019040000}"/>
    <cellStyle name="千分位 3 6 2" xfId="1050" xr:uid="{00000000-0005-0000-0000-00001A040000}"/>
    <cellStyle name="千分位 3 6 2 2" xfId="1051" xr:uid="{00000000-0005-0000-0000-00001B040000}"/>
    <cellStyle name="千分位 3 6 2 2 2" xfId="1052" xr:uid="{00000000-0005-0000-0000-00001C040000}"/>
    <cellStyle name="千分位 3 6 2 2 2 2" xfId="1053" xr:uid="{00000000-0005-0000-0000-00001D040000}"/>
    <cellStyle name="千分位 3 6 2 2 2 2 2" xfId="1054" xr:uid="{00000000-0005-0000-0000-00001E040000}"/>
    <cellStyle name="千分位 3 6 2 2 2 3" xfId="1055" xr:uid="{00000000-0005-0000-0000-00001F040000}"/>
    <cellStyle name="千分位 3 6 2 2 3" xfId="1056" xr:uid="{00000000-0005-0000-0000-000020040000}"/>
    <cellStyle name="千分位 3 6 2 2 3 2" xfId="1057" xr:uid="{00000000-0005-0000-0000-000021040000}"/>
    <cellStyle name="千分位 3 6 2 2 4" xfId="1058" xr:uid="{00000000-0005-0000-0000-000022040000}"/>
    <cellStyle name="千分位 3 6 2 3" xfId="1059" xr:uid="{00000000-0005-0000-0000-000023040000}"/>
    <cellStyle name="千分位 3 6 2 3 2" xfId="1060" xr:uid="{00000000-0005-0000-0000-000024040000}"/>
    <cellStyle name="千分位 3 6 2 3 2 2" xfId="1061" xr:uid="{00000000-0005-0000-0000-000025040000}"/>
    <cellStyle name="千分位 3 6 2 3 2 2 2" xfId="1062" xr:uid="{00000000-0005-0000-0000-000026040000}"/>
    <cellStyle name="千分位 3 6 2 3 2 3" xfId="1063" xr:uid="{00000000-0005-0000-0000-000027040000}"/>
    <cellStyle name="千分位 3 6 2 3 3" xfId="1064" xr:uid="{00000000-0005-0000-0000-000028040000}"/>
    <cellStyle name="千分位 3 6 2 3 3 2" xfId="1065" xr:uid="{00000000-0005-0000-0000-000029040000}"/>
    <cellStyle name="千分位 3 6 2 3 4" xfId="1066" xr:uid="{00000000-0005-0000-0000-00002A040000}"/>
    <cellStyle name="千分位 3 6 2 4" xfId="1067" xr:uid="{00000000-0005-0000-0000-00002B040000}"/>
    <cellStyle name="千分位 3 6 2 4 2" xfId="1068" xr:uid="{00000000-0005-0000-0000-00002C040000}"/>
    <cellStyle name="千分位 3 6 2 4 2 2" xfId="1069" xr:uid="{00000000-0005-0000-0000-00002D040000}"/>
    <cellStyle name="千分位 3 6 2 4 3" xfId="1070" xr:uid="{00000000-0005-0000-0000-00002E040000}"/>
    <cellStyle name="千分位 3 6 2 5" xfId="1071" xr:uid="{00000000-0005-0000-0000-00002F040000}"/>
    <cellStyle name="千分位 3 6 2 5 2" xfId="1072" xr:uid="{00000000-0005-0000-0000-000030040000}"/>
    <cellStyle name="千分位 3 6 2 6" xfId="1073" xr:uid="{00000000-0005-0000-0000-000031040000}"/>
    <cellStyle name="千分位 3 6 3" xfId="1074" xr:uid="{00000000-0005-0000-0000-000032040000}"/>
    <cellStyle name="千分位 3 6 3 2" xfId="1075" xr:uid="{00000000-0005-0000-0000-000033040000}"/>
    <cellStyle name="千分位 3 6 3 2 2" xfId="1076" xr:uid="{00000000-0005-0000-0000-000034040000}"/>
    <cellStyle name="千分位 3 6 3 2 2 2" xfId="1077" xr:uid="{00000000-0005-0000-0000-000035040000}"/>
    <cellStyle name="千分位 3 6 3 2 2 2 2" xfId="1078" xr:uid="{00000000-0005-0000-0000-000036040000}"/>
    <cellStyle name="千分位 3 6 3 2 2 3" xfId="1079" xr:uid="{00000000-0005-0000-0000-000037040000}"/>
    <cellStyle name="千分位 3 6 3 2 3" xfId="1080" xr:uid="{00000000-0005-0000-0000-000038040000}"/>
    <cellStyle name="千分位 3 6 3 2 3 2" xfId="1081" xr:uid="{00000000-0005-0000-0000-000039040000}"/>
    <cellStyle name="千分位 3 6 3 2 4" xfId="1082" xr:uid="{00000000-0005-0000-0000-00003A040000}"/>
    <cellStyle name="千分位 3 6 3 3" xfId="1083" xr:uid="{00000000-0005-0000-0000-00003B040000}"/>
    <cellStyle name="千分位 3 6 3 3 2" xfId="1084" xr:uid="{00000000-0005-0000-0000-00003C040000}"/>
    <cellStyle name="千分位 3 6 3 3 2 2" xfId="1085" xr:uid="{00000000-0005-0000-0000-00003D040000}"/>
    <cellStyle name="千分位 3 6 3 3 2 2 2" xfId="1086" xr:uid="{00000000-0005-0000-0000-00003E040000}"/>
    <cellStyle name="千分位 3 6 3 3 2 3" xfId="1087" xr:uid="{00000000-0005-0000-0000-00003F040000}"/>
    <cellStyle name="千分位 3 6 3 3 3" xfId="1088" xr:uid="{00000000-0005-0000-0000-000040040000}"/>
    <cellStyle name="千分位 3 6 3 3 3 2" xfId="1089" xr:uid="{00000000-0005-0000-0000-000041040000}"/>
    <cellStyle name="千分位 3 6 3 3 4" xfId="1090" xr:uid="{00000000-0005-0000-0000-000042040000}"/>
    <cellStyle name="千分位 3 6 3 4" xfId="1091" xr:uid="{00000000-0005-0000-0000-000043040000}"/>
    <cellStyle name="千分位 3 6 3 4 2" xfId="1092" xr:uid="{00000000-0005-0000-0000-000044040000}"/>
    <cellStyle name="千分位 3 6 3 4 2 2" xfId="1093" xr:uid="{00000000-0005-0000-0000-000045040000}"/>
    <cellStyle name="千分位 3 6 3 4 3" xfId="1094" xr:uid="{00000000-0005-0000-0000-000046040000}"/>
    <cellStyle name="千分位 3 6 3 5" xfId="1095" xr:uid="{00000000-0005-0000-0000-000047040000}"/>
    <cellStyle name="千分位 3 6 3 5 2" xfId="1096" xr:uid="{00000000-0005-0000-0000-000048040000}"/>
    <cellStyle name="千分位 3 6 3 6" xfId="1097" xr:uid="{00000000-0005-0000-0000-000049040000}"/>
    <cellStyle name="千分位 3 6 4" xfId="1098" xr:uid="{00000000-0005-0000-0000-00004A040000}"/>
    <cellStyle name="千分位 3 6 4 2" xfId="1099" xr:uid="{00000000-0005-0000-0000-00004B040000}"/>
    <cellStyle name="千分位 3 6 4 2 2" xfId="1100" xr:uid="{00000000-0005-0000-0000-00004C040000}"/>
    <cellStyle name="千分位 3 6 4 2 2 2" xfId="1101" xr:uid="{00000000-0005-0000-0000-00004D040000}"/>
    <cellStyle name="千分位 3 6 4 2 3" xfId="1102" xr:uid="{00000000-0005-0000-0000-00004E040000}"/>
    <cellStyle name="千分位 3 6 4 3" xfId="1103" xr:uid="{00000000-0005-0000-0000-00004F040000}"/>
    <cellStyle name="千分位 3 6 4 3 2" xfId="1104" xr:uid="{00000000-0005-0000-0000-000050040000}"/>
    <cellStyle name="千分位 3 6 4 4" xfId="1105" xr:uid="{00000000-0005-0000-0000-000051040000}"/>
    <cellStyle name="千分位 3 6 5" xfId="1106" xr:uid="{00000000-0005-0000-0000-000052040000}"/>
    <cellStyle name="千分位 3 6 5 2" xfId="1107" xr:uid="{00000000-0005-0000-0000-000053040000}"/>
    <cellStyle name="千分位 3 6 5 2 2" xfId="1108" xr:uid="{00000000-0005-0000-0000-000054040000}"/>
    <cellStyle name="千分位 3 6 5 2 2 2" xfId="1109" xr:uid="{00000000-0005-0000-0000-000055040000}"/>
    <cellStyle name="千分位 3 6 5 2 3" xfId="1110" xr:uid="{00000000-0005-0000-0000-000056040000}"/>
    <cellStyle name="千分位 3 6 5 3" xfId="1111" xr:uid="{00000000-0005-0000-0000-000057040000}"/>
    <cellStyle name="千分位 3 6 5 3 2" xfId="1112" xr:uid="{00000000-0005-0000-0000-000058040000}"/>
    <cellStyle name="千分位 3 6 5 4" xfId="1113" xr:uid="{00000000-0005-0000-0000-000059040000}"/>
    <cellStyle name="千分位 3 6 6" xfId="1114" xr:uid="{00000000-0005-0000-0000-00005A040000}"/>
    <cellStyle name="千分位 3 6 6 2" xfId="1115" xr:uid="{00000000-0005-0000-0000-00005B040000}"/>
    <cellStyle name="千分位 3 6 6 2 2" xfId="1116" xr:uid="{00000000-0005-0000-0000-00005C040000}"/>
    <cellStyle name="千分位 3 6 6 3" xfId="1117" xr:uid="{00000000-0005-0000-0000-00005D040000}"/>
    <cellStyle name="千分位 3 6 7" xfId="1118" xr:uid="{00000000-0005-0000-0000-00005E040000}"/>
    <cellStyle name="千分位 3 6 7 2" xfId="1119" xr:uid="{00000000-0005-0000-0000-00005F040000}"/>
    <cellStyle name="千分位 3 6 8" xfId="1120" xr:uid="{00000000-0005-0000-0000-000060040000}"/>
    <cellStyle name="千分位 3 7" xfId="1121" xr:uid="{00000000-0005-0000-0000-000061040000}"/>
    <cellStyle name="千分位 3 7 2" xfId="1122" xr:uid="{00000000-0005-0000-0000-000062040000}"/>
    <cellStyle name="千分位 3 7 2 2" xfId="1123" xr:uid="{00000000-0005-0000-0000-000063040000}"/>
    <cellStyle name="千分位 3 7 2 2 2" xfId="1124" xr:uid="{00000000-0005-0000-0000-000064040000}"/>
    <cellStyle name="千分位 3 7 2 2 2 2" xfId="1125" xr:uid="{00000000-0005-0000-0000-000065040000}"/>
    <cellStyle name="千分位 3 7 2 2 3" xfId="1126" xr:uid="{00000000-0005-0000-0000-000066040000}"/>
    <cellStyle name="千分位 3 7 2 3" xfId="1127" xr:uid="{00000000-0005-0000-0000-000067040000}"/>
    <cellStyle name="千分位 3 7 2 3 2" xfId="1128" xr:uid="{00000000-0005-0000-0000-000068040000}"/>
    <cellStyle name="千分位 3 7 2 4" xfId="1129" xr:uid="{00000000-0005-0000-0000-000069040000}"/>
    <cellStyle name="千分位 3 7 3" xfId="1130" xr:uid="{00000000-0005-0000-0000-00006A040000}"/>
    <cellStyle name="千分位 3 7 3 2" xfId="1131" xr:uid="{00000000-0005-0000-0000-00006B040000}"/>
    <cellStyle name="千分位 3 7 3 2 2" xfId="1132" xr:uid="{00000000-0005-0000-0000-00006C040000}"/>
    <cellStyle name="千分位 3 7 3 2 2 2" xfId="1133" xr:uid="{00000000-0005-0000-0000-00006D040000}"/>
    <cellStyle name="千分位 3 7 3 2 3" xfId="1134" xr:uid="{00000000-0005-0000-0000-00006E040000}"/>
    <cellStyle name="千分位 3 7 3 3" xfId="1135" xr:uid="{00000000-0005-0000-0000-00006F040000}"/>
    <cellStyle name="千分位 3 7 3 3 2" xfId="1136" xr:uid="{00000000-0005-0000-0000-000070040000}"/>
    <cellStyle name="千分位 3 7 3 4" xfId="1137" xr:uid="{00000000-0005-0000-0000-000071040000}"/>
    <cellStyle name="千分位 3 7 4" xfId="1138" xr:uid="{00000000-0005-0000-0000-000072040000}"/>
    <cellStyle name="千分位 3 7 4 2" xfId="1139" xr:uid="{00000000-0005-0000-0000-000073040000}"/>
    <cellStyle name="千分位 3 7 4 2 2" xfId="1140" xr:uid="{00000000-0005-0000-0000-000074040000}"/>
    <cellStyle name="千分位 3 7 4 3" xfId="1141" xr:uid="{00000000-0005-0000-0000-000075040000}"/>
    <cellStyle name="千分位 3 7 5" xfId="1142" xr:uid="{00000000-0005-0000-0000-000076040000}"/>
    <cellStyle name="千分位 3 7 5 2" xfId="1143" xr:uid="{00000000-0005-0000-0000-000077040000}"/>
    <cellStyle name="千分位 3 7 6" xfId="1144" xr:uid="{00000000-0005-0000-0000-000078040000}"/>
    <cellStyle name="千分位 3 8" xfId="1145" xr:uid="{00000000-0005-0000-0000-000079040000}"/>
    <cellStyle name="千分位 3 8 2" xfId="1146" xr:uid="{00000000-0005-0000-0000-00007A040000}"/>
    <cellStyle name="千分位 3 8 2 2" xfId="1147" xr:uid="{00000000-0005-0000-0000-00007B040000}"/>
    <cellStyle name="千分位 3 8 2 2 2" xfId="1148" xr:uid="{00000000-0005-0000-0000-00007C040000}"/>
    <cellStyle name="千分位 3 8 2 2 2 2" xfId="1149" xr:uid="{00000000-0005-0000-0000-00007D040000}"/>
    <cellStyle name="千分位 3 8 2 2 3" xfId="1150" xr:uid="{00000000-0005-0000-0000-00007E040000}"/>
    <cellStyle name="千分位 3 8 2 3" xfId="1151" xr:uid="{00000000-0005-0000-0000-00007F040000}"/>
    <cellStyle name="千分位 3 8 2 3 2" xfId="1152" xr:uid="{00000000-0005-0000-0000-000080040000}"/>
    <cellStyle name="千分位 3 8 2 4" xfId="1153" xr:uid="{00000000-0005-0000-0000-000081040000}"/>
    <cellStyle name="千分位 3 8 3" xfId="1154" xr:uid="{00000000-0005-0000-0000-000082040000}"/>
    <cellStyle name="千分位 3 8 3 2" xfId="1155" xr:uid="{00000000-0005-0000-0000-000083040000}"/>
    <cellStyle name="千分位 3 8 3 2 2" xfId="1156" xr:uid="{00000000-0005-0000-0000-000084040000}"/>
    <cellStyle name="千分位 3 8 3 2 2 2" xfId="1157" xr:uid="{00000000-0005-0000-0000-000085040000}"/>
    <cellStyle name="千分位 3 8 3 2 3" xfId="1158" xr:uid="{00000000-0005-0000-0000-000086040000}"/>
    <cellStyle name="千分位 3 8 3 3" xfId="1159" xr:uid="{00000000-0005-0000-0000-000087040000}"/>
    <cellStyle name="千分位 3 8 3 3 2" xfId="1160" xr:uid="{00000000-0005-0000-0000-000088040000}"/>
    <cellStyle name="千分位 3 8 3 4" xfId="1161" xr:uid="{00000000-0005-0000-0000-000089040000}"/>
    <cellStyle name="千分位 3 8 4" xfId="1162" xr:uid="{00000000-0005-0000-0000-00008A040000}"/>
    <cellStyle name="千分位 3 8 4 2" xfId="1163" xr:uid="{00000000-0005-0000-0000-00008B040000}"/>
    <cellStyle name="千分位 3 8 4 2 2" xfId="1164" xr:uid="{00000000-0005-0000-0000-00008C040000}"/>
    <cellStyle name="千分位 3 8 4 3" xfId="1165" xr:uid="{00000000-0005-0000-0000-00008D040000}"/>
    <cellStyle name="千分位 3 8 5" xfId="1166" xr:uid="{00000000-0005-0000-0000-00008E040000}"/>
    <cellStyle name="千分位 3 8 5 2" xfId="1167" xr:uid="{00000000-0005-0000-0000-00008F040000}"/>
    <cellStyle name="千分位 3 8 6" xfId="1168" xr:uid="{00000000-0005-0000-0000-000090040000}"/>
    <cellStyle name="千分位 3 9" xfId="1169" xr:uid="{00000000-0005-0000-0000-000091040000}"/>
    <cellStyle name="千分位 3 9 2" xfId="1170" xr:uid="{00000000-0005-0000-0000-000092040000}"/>
    <cellStyle name="千分位 3 9 2 2" xfId="1171" xr:uid="{00000000-0005-0000-0000-000093040000}"/>
    <cellStyle name="千分位 3 9 2 2 2" xfId="1172" xr:uid="{00000000-0005-0000-0000-000094040000}"/>
    <cellStyle name="千分位 3 9 2 3" xfId="1173" xr:uid="{00000000-0005-0000-0000-000095040000}"/>
    <cellStyle name="千分位 3 9 3" xfId="1174" xr:uid="{00000000-0005-0000-0000-000096040000}"/>
    <cellStyle name="千分位 3 9 3 2" xfId="1175" xr:uid="{00000000-0005-0000-0000-000097040000}"/>
    <cellStyle name="千分位 3 9 4" xfId="1176" xr:uid="{00000000-0005-0000-0000-000098040000}"/>
    <cellStyle name="千分位 4" xfId="1177" xr:uid="{00000000-0005-0000-0000-000099040000}"/>
    <cellStyle name="千分位 4 2" xfId="1178" xr:uid="{00000000-0005-0000-0000-00009A040000}"/>
    <cellStyle name="千分位 4 2 2" xfId="1179" xr:uid="{00000000-0005-0000-0000-00009B040000}"/>
    <cellStyle name="千分位 4 2 2 2" xfId="1180" xr:uid="{00000000-0005-0000-0000-00009C040000}"/>
    <cellStyle name="千分位 4 2 2 2 2" xfId="1181" xr:uid="{00000000-0005-0000-0000-00009D040000}"/>
    <cellStyle name="千分位 4 2 2 2 2 2" xfId="1182" xr:uid="{00000000-0005-0000-0000-00009E040000}"/>
    <cellStyle name="千分位 4 2 2 2 2 2 2" xfId="1183" xr:uid="{00000000-0005-0000-0000-00009F040000}"/>
    <cellStyle name="千分位 4 2 2 2 2 3" xfId="1184" xr:uid="{00000000-0005-0000-0000-0000A0040000}"/>
    <cellStyle name="千分位 4 2 2 2 3" xfId="1185" xr:uid="{00000000-0005-0000-0000-0000A1040000}"/>
    <cellStyle name="千分位 4 2 2 2 3 2" xfId="1186" xr:uid="{00000000-0005-0000-0000-0000A2040000}"/>
    <cellStyle name="千分位 4 2 2 2 4" xfId="1187" xr:uid="{00000000-0005-0000-0000-0000A3040000}"/>
    <cellStyle name="千分位 4 2 2 3" xfId="1188" xr:uid="{00000000-0005-0000-0000-0000A4040000}"/>
    <cellStyle name="千分位 4 2 2 3 2" xfId="1189" xr:uid="{00000000-0005-0000-0000-0000A5040000}"/>
    <cellStyle name="千分位 4 2 2 3 2 2" xfId="1190" xr:uid="{00000000-0005-0000-0000-0000A6040000}"/>
    <cellStyle name="千分位 4 2 2 3 2 2 2" xfId="1191" xr:uid="{00000000-0005-0000-0000-0000A7040000}"/>
    <cellStyle name="千分位 4 2 2 3 2 3" xfId="1192" xr:uid="{00000000-0005-0000-0000-0000A8040000}"/>
    <cellStyle name="千分位 4 2 2 3 3" xfId="1193" xr:uid="{00000000-0005-0000-0000-0000A9040000}"/>
    <cellStyle name="千分位 4 2 2 3 3 2" xfId="1194" xr:uid="{00000000-0005-0000-0000-0000AA040000}"/>
    <cellStyle name="千分位 4 2 2 3 4" xfId="1195" xr:uid="{00000000-0005-0000-0000-0000AB040000}"/>
    <cellStyle name="千分位 4 2 2 4" xfId="1196" xr:uid="{00000000-0005-0000-0000-0000AC040000}"/>
    <cellStyle name="千分位 4 2 2 4 2" xfId="1197" xr:uid="{00000000-0005-0000-0000-0000AD040000}"/>
    <cellStyle name="千分位 4 2 2 4 2 2" xfId="1198" xr:uid="{00000000-0005-0000-0000-0000AE040000}"/>
    <cellStyle name="千分位 4 2 2 4 3" xfId="1199" xr:uid="{00000000-0005-0000-0000-0000AF040000}"/>
    <cellStyle name="千分位 4 2 2 5" xfId="1200" xr:uid="{00000000-0005-0000-0000-0000B0040000}"/>
    <cellStyle name="千分位 4 2 2 5 2" xfId="1201" xr:uid="{00000000-0005-0000-0000-0000B1040000}"/>
    <cellStyle name="千分位 4 2 2 6" xfId="1202" xr:uid="{00000000-0005-0000-0000-0000B2040000}"/>
    <cellStyle name="千分位 4 2 3" xfId="1203" xr:uid="{00000000-0005-0000-0000-0000B3040000}"/>
    <cellStyle name="千分位 4 2 3 2" xfId="1204" xr:uid="{00000000-0005-0000-0000-0000B4040000}"/>
    <cellStyle name="千分位 4 2 3 2 2" xfId="1205" xr:uid="{00000000-0005-0000-0000-0000B5040000}"/>
    <cellStyle name="千分位 4 2 3 2 2 2" xfId="1206" xr:uid="{00000000-0005-0000-0000-0000B6040000}"/>
    <cellStyle name="千分位 4 2 3 2 2 2 2" xfId="1207" xr:uid="{00000000-0005-0000-0000-0000B7040000}"/>
    <cellStyle name="千分位 4 2 3 2 2 3" xfId="1208" xr:uid="{00000000-0005-0000-0000-0000B8040000}"/>
    <cellStyle name="千分位 4 2 3 2 3" xfId="1209" xr:uid="{00000000-0005-0000-0000-0000B9040000}"/>
    <cellStyle name="千分位 4 2 3 2 3 2" xfId="1210" xr:uid="{00000000-0005-0000-0000-0000BA040000}"/>
    <cellStyle name="千分位 4 2 3 2 4" xfId="1211" xr:uid="{00000000-0005-0000-0000-0000BB040000}"/>
    <cellStyle name="千分位 4 2 3 3" xfId="1212" xr:uid="{00000000-0005-0000-0000-0000BC040000}"/>
    <cellStyle name="千分位 4 2 3 3 2" xfId="1213" xr:uid="{00000000-0005-0000-0000-0000BD040000}"/>
    <cellStyle name="千分位 4 2 3 3 2 2" xfId="1214" xr:uid="{00000000-0005-0000-0000-0000BE040000}"/>
    <cellStyle name="千分位 4 2 3 3 2 2 2" xfId="1215" xr:uid="{00000000-0005-0000-0000-0000BF040000}"/>
    <cellStyle name="千分位 4 2 3 3 2 3" xfId="1216" xr:uid="{00000000-0005-0000-0000-0000C0040000}"/>
    <cellStyle name="千分位 4 2 3 3 3" xfId="1217" xr:uid="{00000000-0005-0000-0000-0000C1040000}"/>
    <cellStyle name="千分位 4 2 3 3 3 2" xfId="1218" xr:uid="{00000000-0005-0000-0000-0000C2040000}"/>
    <cellStyle name="千分位 4 2 3 3 4" xfId="1219" xr:uid="{00000000-0005-0000-0000-0000C3040000}"/>
    <cellStyle name="千分位 4 2 3 4" xfId="1220" xr:uid="{00000000-0005-0000-0000-0000C4040000}"/>
    <cellStyle name="千分位 4 2 3 4 2" xfId="1221" xr:uid="{00000000-0005-0000-0000-0000C5040000}"/>
    <cellStyle name="千分位 4 2 3 4 2 2" xfId="1222" xr:uid="{00000000-0005-0000-0000-0000C6040000}"/>
    <cellStyle name="千分位 4 2 3 4 3" xfId="1223" xr:uid="{00000000-0005-0000-0000-0000C7040000}"/>
    <cellStyle name="千分位 4 2 3 5" xfId="1224" xr:uid="{00000000-0005-0000-0000-0000C8040000}"/>
    <cellStyle name="千分位 4 2 3 5 2" xfId="1225" xr:uid="{00000000-0005-0000-0000-0000C9040000}"/>
    <cellStyle name="千分位 4 2 3 6" xfId="1226" xr:uid="{00000000-0005-0000-0000-0000CA040000}"/>
    <cellStyle name="千分位 4 2 4" xfId="1227" xr:uid="{00000000-0005-0000-0000-0000CB040000}"/>
    <cellStyle name="千分位 4 2 4 2" xfId="1228" xr:uid="{00000000-0005-0000-0000-0000CC040000}"/>
    <cellStyle name="千分位 4 2 4 2 2" xfId="1229" xr:uid="{00000000-0005-0000-0000-0000CD040000}"/>
    <cellStyle name="千分位 4 2 4 2 2 2" xfId="1230" xr:uid="{00000000-0005-0000-0000-0000CE040000}"/>
    <cellStyle name="千分位 4 2 4 2 3" xfId="1231" xr:uid="{00000000-0005-0000-0000-0000CF040000}"/>
    <cellStyle name="千分位 4 2 4 3" xfId="1232" xr:uid="{00000000-0005-0000-0000-0000D0040000}"/>
    <cellStyle name="千分位 4 2 4 3 2" xfId="1233" xr:uid="{00000000-0005-0000-0000-0000D1040000}"/>
    <cellStyle name="千分位 4 2 4 4" xfId="1234" xr:uid="{00000000-0005-0000-0000-0000D2040000}"/>
    <cellStyle name="千分位 4 2 5" xfId="1235" xr:uid="{00000000-0005-0000-0000-0000D3040000}"/>
    <cellStyle name="千分位 4 2 5 2" xfId="1236" xr:uid="{00000000-0005-0000-0000-0000D4040000}"/>
    <cellStyle name="千分位 4 2 5 2 2" xfId="1237" xr:uid="{00000000-0005-0000-0000-0000D5040000}"/>
    <cellStyle name="千分位 4 2 5 2 2 2" xfId="1238" xr:uid="{00000000-0005-0000-0000-0000D6040000}"/>
    <cellStyle name="千分位 4 2 5 2 3" xfId="1239" xr:uid="{00000000-0005-0000-0000-0000D7040000}"/>
    <cellStyle name="千分位 4 2 5 3" xfId="1240" xr:uid="{00000000-0005-0000-0000-0000D8040000}"/>
    <cellStyle name="千分位 4 2 5 3 2" xfId="1241" xr:uid="{00000000-0005-0000-0000-0000D9040000}"/>
    <cellStyle name="千分位 4 2 5 4" xfId="1242" xr:uid="{00000000-0005-0000-0000-0000DA040000}"/>
    <cellStyle name="千分位 4 2 6" xfId="1243" xr:uid="{00000000-0005-0000-0000-0000DB040000}"/>
    <cellStyle name="千分位 4 2 6 2" xfId="1244" xr:uid="{00000000-0005-0000-0000-0000DC040000}"/>
    <cellStyle name="千分位 4 2 6 2 2" xfId="1245" xr:uid="{00000000-0005-0000-0000-0000DD040000}"/>
    <cellStyle name="千分位 4 2 6 3" xfId="1246" xr:uid="{00000000-0005-0000-0000-0000DE040000}"/>
    <cellStyle name="千分位 4 2 7" xfId="1247" xr:uid="{00000000-0005-0000-0000-0000DF040000}"/>
    <cellStyle name="千分位 4 2 7 2" xfId="1248" xr:uid="{00000000-0005-0000-0000-0000E0040000}"/>
    <cellStyle name="千分位 4 2 8" xfId="1249" xr:uid="{00000000-0005-0000-0000-0000E1040000}"/>
    <cellStyle name="千分位 4 3" xfId="1250" xr:uid="{00000000-0005-0000-0000-0000E2040000}"/>
    <cellStyle name="千分位 4 3 2" xfId="1251" xr:uid="{00000000-0005-0000-0000-0000E3040000}"/>
    <cellStyle name="千分位 4 3 2 2" xfId="1252" xr:uid="{00000000-0005-0000-0000-0000E4040000}"/>
    <cellStyle name="千分位 4 3 2 2 2" xfId="1253" xr:uid="{00000000-0005-0000-0000-0000E5040000}"/>
    <cellStyle name="千分位 4 3 2 2 2 2" xfId="1254" xr:uid="{00000000-0005-0000-0000-0000E6040000}"/>
    <cellStyle name="千分位 4 3 2 2 3" xfId="1255" xr:uid="{00000000-0005-0000-0000-0000E7040000}"/>
    <cellStyle name="千分位 4 3 2 3" xfId="1256" xr:uid="{00000000-0005-0000-0000-0000E8040000}"/>
    <cellStyle name="千分位 4 3 2 3 2" xfId="1257" xr:uid="{00000000-0005-0000-0000-0000E9040000}"/>
    <cellStyle name="千分位 4 3 2 4" xfId="1258" xr:uid="{00000000-0005-0000-0000-0000EA040000}"/>
    <cellStyle name="千分位 4 3 3" xfId="1259" xr:uid="{00000000-0005-0000-0000-0000EB040000}"/>
    <cellStyle name="千分位 4 3 3 2" xfId="1260" xr:uid="{00000000-0005-0000-0000-0000EC040000}"/>
    <cellStyle name="千分位 4 3 3 2 2" xfId="1261" xr:uid="{00000000-0005-0000-0000-0000ED040000}"/>
    <cellStyle name="千分位 4 3 3 2 2 2" xfId="1262" xr:uid="{00000000-0005-0000-0000-0000EE040000}"/>
    <cellStyle name="千分位 4 3 3 2 3" xfId="1263" xr:uid="{00000000-0005-0000-0000-0000EF040000}"/>
    <cellStyle name="千分位 4 3 3 3" xfId="1264" xr:uid="{00000000-0005-0000-0000-0000F0040000}"/>
    <cellStyle name="千分位 4 3 3 3 2" xfId="1265" xr:uid="{00000000-0005-0000-0000-0000F1040000}"/>
    <cellStyle name="千分位 4 3 3 4" xfId="1266" xr:uid="{00000000-0005-0000-0000-0000F2040000}"/>
    <cellStyle name="千分位 4 3 4" xfId="1267" xr:uid="{00000000-0005-0000-0000-0000F3040000}"/>
    <cellStyle name="千分位 4 3 4 2" xfId="1268" xr:uid="{00000000-0005-0000-0000-0000F4040000}"/>
    <cellStyle name="千分位 4 3 4 2 2" xfId="1269" xr:uid="{00000000-0005-0000-0000-0000F5040000}"/>
    <cellStyle name="千分位 4 3 4 3" xfId="1270" xr:uid="{00000000-0005-0000-0000-0000F6040000}"/>
    <cellStyle name="千分位 4 3 5" xfId="1271" xr:uid="{00000000-0005-0000-0000-0000F7040000}"/>
    <cellStyle name="千分位 4 3 5 2" xfId="1272" xr:uid="{00000000-0005-0000-0000-0000F8040000}"/>
    <cellStyle name="千分位 4 3 6" xfId="1273" xr:uid="{00000000-0005-0000-0000-0000F9040000}"/>
    <cellStyle name="千分位 4 4" xfId="1274" xr:uid="{00000000-0005-0000-0000-0000FA040000}"/>
    <cellStyle name="千分位 4 4 2" xfId="1275" xr:uid="{00000000-0005-0000-0000-0000FB040000}"/>
    <cellStyle name="千分位 4 4 2 2" xfId="1276" xr:uid="{00000000-0005-0000-0000-0000FC040000}"/>
    <cellStyle name="千分位 4 4 2 2 2" xfId="1277" xr:uid="{00000000-0005-0000-0000-0000FD040000}"/>
    <cellStyle name="千分位 4 4 2 2 2 2" xfId="1278" xr:uid="{00000000-0005-0000-0000-0000FE040000}"/>
    <cellStyle name="千分位 4 4 2 2 3" xfId="1279" xr:uid="{00000000-0005-0000-0000-0000FF040000}"/>
    <cellStyle name="千分位 4 4 2 3" xfId="1280" xr:uid="{00000000-0005-0000-0000-000000050000}"/>
    <cellStyle name="千分位 4 4 2 3 2" xfId="1281" xr:uid="{00000000-0005-0000-0000-000001050000}"/>
    <cellStyle name="千分位 4 4 2 4" xfId="1282" xr:uid="{00000000-0005-0000-0000-000002050000}"/>
    <cellStyle name="千分位 4 4 3" xfId="1283" xr:uid="{00000000-0005-0000-0000-000003050000}"/>
    <cellStyle name="千分位 4 4 3 2" xfId="1284" xr:uid="{00000000-0005-0000-0000-000004050000}"/>
    <cellStyle name="千分位 4 4 3 2 2" xfId="1285" xr:uid="{00000000-0005-0000-0000-000005050000}"/>
    <cellStyle name="千分位 4 4 3 2 2 2" xfId="1286" xr:uid="{00000000-0005-0000-0000-000006050000}"/>
    <cellStyle name="千分位 4 4 3 2 3" xfId="1287" xr:uid="{00000000-0005-0000-0000-000007050000}"/>
    <cellStyle name="千分位 4 4 3 3" xfId="1288" xr:uid="{00000000-0005-0000-0000-000008050000}"/>
    <cellStyle name="千分位 4 4 3 3 2" xfId="1289" xr:uid="{00000000-0005-0000-0000-000009050000}"/>
    <cellStyle name="千分位 4 4 3 4" xfId="1290" xr:uid="{00000000-0005-0000-0000-00000A050000}"/>
    <cellStyle name="千分位 4 4 4" xfId="1291" xr:uid="{00000000-0005-0000-0000-00000B050000}"/>
    <cellStyle name="千分位 4 4 4 2" xfId="1292" xr:uid="{00000000-0005-0000-0000-00000C050000}"/>
    <cellStyle name="千分位 4 4 4 2 2" xfId="1293" xr:uid="{00000000-0005-0000-0000-00000D050000}"/>
    <cellStyle name="千分位 4 4 4 3" xfId="1294" xr:uid="{00000000-0005-0000-0000-00000E050000}"/>
    <cellStyle name="千分位 4 4 5" xfId="1295" xr:uid="{00000000-0005-0000-0000-00000F050000}"/>
    <cellStyle name="千分位 4 4 5 2" xfId="1296" xr:uid="{00000000-0005-0000-0000-000010050000}"/>
    <cellStyle name="千分位 4 4 6" xfId="1297" xr:uid="{00000000-0005-0000-0000-000011050000}"/>
    <cellStyle name="千分位 4 5" xfId="1298" xr:uid="{00000000-0005-0000-0000-000012050000}"/>
    <cellStyle name="千分位 4 5 2" xfId="1299" xr:uid="{00000000-0005-0000-0000-000013050000}"/>
    <cellStyle name="千分位 4 5 2 2" xfId="1300" xr:uid="{00000000-0005-0000-0000-000014050000}"/>
    <cellStyle name="千分位 4 5 2 2 2" xfId="1301" xr:uid="{00000000-0005-0000-0000-000015050000}"/>
    <cellStyle name="千分位 4 5 2 3" xfId="1302" xr:uid="{00000000-0005-0000-0000-000016050000}"/>
    <cellStyle name="千分位 4 5 3" xfId="1303" xr:uid="{00000000-0005-0000-0000-000017050000}"/>
    <cellStyle name="千分位 4 5 3 2" xfId="1304" xr:uid="{00000000-0005-0000-0000-000018050000}"/>
    <cellStyle name="千分位 4 5 4" xfId="1305" xr:uid="{00000000-0005-0000-0000-000019050000}"/>
    <cellStyle name="千分位 4 6" xfId="1306" xr:uid="{00000000-0005-0000-0000-00001A050000}"/>
    <cellStyle name="千分位 4 6 2" xfId="1307" xr:uid="{00000000-0005-0000-0000-00001B050000}"/>
    <cellStyle name="千分位 4 6 2 2" xfId="1308" xr:uid="{00000000-0005-0000-0000-00001C050000}"/>
    <cellStyle name="千分位 4 6 2 2 2" xfId="1309" xr:uid="{00000000-0005-0000-0000-00001D050000}"/>
    <cellStyle name="千分位 4 6 2 3" xfId="1310" xr:uid="{00000000-0005-0000-0000-00001E050000}"/>
    <cellStyle name="千分位 4 6 3" xfId="1311" xr:uid="{00000000-0005-0000-0000-00001F050000}"/>
    <cellStyle name="千分位 4 6 3 2" xfId="1312" xr:uid="{00000000-0005-0000-0000-000020050000}"/>
    <cellStyle name="千分位 4 6 4" xfId="1313" xr:uid="{00000000-0005-0000-0000-000021050000}"/>
    <cellStyle name="千分位 4 7" xfId="1314" xr:uid="{00000000-0005-0000-0000-000022050000}"/>
    <cellStyle name="千分位 4 7 2" xfId="1315" xr:uid="{00000000-0005-0000-0000-000023050000}"/>
    <cellStyle name="千分位 4 7 2 2" xfId="1316" xr:uid="{00000000-0005-0000-0000-000024050000}"/>
    <cellStyle name="千分位 4 7 3" xfId="1317" xr:uid="{00000000-0005-0000-0000-000025050000}"/>
    <cellStyle name="千分位 4 8" xfId="1318" xr:uid="{00000000-0005-0000-0000-000026050000}"/>
    <cellStyle name="千分位 4 8 2" xfId="1319" xr:uid="{00000000-0005-0000-0000-000027050000}"/>
    <cellStyle name="千分位 4 9" xfId="1320" xr:uid="{00000000-0005-0000-0000-000028050000}"/>
    <cellStyle name="千分位 5" xfId="1321" xr:uid="{00000000-0005-0000-0000-000029050000}"/>
    <cellStyle name="千分位 5 2" xfId="1322" xr:uid="{00000000-0005-0000-0000-00002A050000}"/>
    <cellStyle name="千分位 5 2 2" xfId="1323" xr:uid="{00000000-0005-0000-0000-00002B050000}"/>
    <cellStyle name="千分位 5 2 2 2" xfId="1324" xr:uid="{00000000-0005-0000-0000-00002C050000}"/>
    <cellStyle name="千分位 5 2 2 2 2" xfId="1325" xr:uid="{00000000-0005-0000-0000-00002D050000}"/>
    <cellStyle name="千分位 5 2 2 2 2 2" xfId="1326" xr:uid="{00000000-0005-0000-0000-00002E050000}"/>
    <cellStyle name="千分位 5 2 2 2 2 2 2" xfId="1327" xr:uid="{00000000-0005-0000-0000-00002F050000}"/>
    <cellStyle name="千分位 5 2 2 2 2 3" xfId="1328" xr:uid="{00000000-0005-0000-0000-000030050000}"/>
    <cellStyle name="千分位 5 2 2 2 3" xfId="1329" xr:uid="{00000000-0005-0000-0000-000031050000}"/>
    <cellStyle name="千分位 5 2 2 2 3 2" xfId="1330" xr:uid="{00000000-0005-0000-0000-000032050000}"/>
    <cellStyle name="千分位 5 2 2 2 4" xfId="1331" xr:uid="{00000000-0005-0000-0000-000033050000}"/>
    <cellStyle name="千分位 5 2 2 3" xfId="1332" xr:uid="{00000000-0005-0000-0000-000034050000}"/>
    <cellStyle name="千分位 5 2 2 3 2" xfId="1333" xr:uid="{00000000-0005-0000-0000-000035050000}"/>
    <cellStyle name="千分位 5 2 2 3 2 2" xfId="1334" xr:uid="{00000000-0005-0000-0000-000036050000}"/>
    <cellStyle name="千分位 5 2 2 3 2 2 2" xfId="1335" xr:uid="{00000000-0005-0000-0000-000037050000}"/>
    <cellStyle name="千分位 5 2 2 3 2 3" xfId="1336" xr:uid="{00000000-0005-0000-0000-000038050000}"/>
    <cellStyle name="千分位 5 2 2 3 3" xfId="1337" xr:uid="{00000000-0005-0000-0000-000039050000}"/>
    <cellStyle name="千分位 5 2 2 3 3 2" xfId="1338" xr:uid="{00000000-0005-0000-0000-00003A050000}"/>
    <cellStyle name="千分位 5 2 2 3 4" xfId="1339" xr:uid="{00000000-0005-0000-0000-00003B050000}"/>
    <cellStyle name="千分位 5 2 2 4" xfId="1340" xr:uid="{00000000-0005-0000-0000-00003C050000}"/>
    <cellStyle name="千分位 5 2 2 4 2" xfId="1341" xr:uid="{00000000-0005-0000-0000-00003D050000}"/>
    <cellStyle name="千分位 5 2 2 4 2 2" xfId="1342" xr:uid="{00000000-0005-0000-0000-00003E050000}"/>
    <cellStyle name="千分位 5 2 2 4 3" xfId="1343" xr:uid="{00000000-0005-0000-0000-00003F050000}"/>
    <cellStyle name="千分位 5 2 2 5" xfId="1344" xr:uid="{00000000-0005-0000-0000-000040050000}"/>
    <cellStyle name="千分位 5 2 2 5 2" xfId="1345" xr:uid="{00000000-0005-0000-0000-000041050000}"/>
    <cellStyle name="千分位 5 2 2 6" xfId="1346" xr:uid="{00000000-0005-0000-0000-000042050000}"/>
    <cellStyle name="千分位 5 2 3" xfId="1347" xr:uid="{00000000-0005-0000-0000-000043050000}"/>
    <cellStyle name="千分位 5 2 3 2" xfId="1348" xr:uid="{00000000-0005-0000-0000-000044050000}"/>
    <cellStyle name="千分位 5 2 3 2 2" xfId="1349" xr:uid="{00000000-0005-0000-0000-000045050000}"/>
    <cellStyle name="千分位 5 2 3 2 2 2" xfId="1350" xr:uid="{00000000-0005-0000-0000-000046050000}"/>
    <cellStyle name="千分位 5 2 3 2 2 2 2" xfId="1351" xr:uid="{00000000-0005-0000-0000-000047050000}"/>
    <cellStyle name="千分位 5 2 3 2 2 3" xfId="1352" xr:uid="{00000000-0005-0000-0000-000048050000}"/>
    <cellStyle name="千分位 5 2 3 2 3" xfId="1353" xr:uid="{00000000-0005-0000-0000-000049050000}"/>
    <cellStyle name="千分位 5 2 3 2 3 2" xfId="1354" xr:uid="{00000000-0005-0000-0000-00004A050000}"/>
    <cellStyle name="千分位 5 2 3 2 4" xfId="1355" xr:uid="{00000000-0005-0000-0000-00004B050000}"/>
    <cellStyle name="千分位 5 2 3 3" xfId="1356" xr:uid="{00000000-0005-0000-0000-00004C050000}"/>
    <cellStyle name="千分位 5 2 3 3 2" xfId="1357" xr:uid="{00000000-0005-0000-0000-00004D050000}"/>
    <cellStyle name="千分位 5 2 3 3 2 2" xfId="1358" xr:uid="{00000000-0005-0000-0000-00004E050000}"/>
    <cellStyle name="千分位 5 2 3 3 2 2 2" xfId="1359" xr:uid="{00000000-0005-0000-0000-00004F050000}"/>
    <cellStyle name="千分位 5 2 3 3 2 3" xfId="1360" xr:uid="{00000000-0005-0000-0000-000050050000}"/>
    <cellStyle name="千分位 5 2 3 3 3" xfId="1361" xr:uid="{00000000-0005-0000-0000-000051050000}"/>
    <cellStyle name="千分位 5 2 3 3 3 2" xfId="1362" xr:uid="{00000000-0005-0000-0000-000052050000}"/>
    <cellStyle name="千分位 5 2 3 3 4" xfId="1363" xr:uid="{00000000-0005-0000-0000-000053050000}"/>
    <cellStyle name="千分位 5 2 3 4" xfId="1364" xr:uid="{00000000-0005-0000-0000-000054050000}"/>
    <cellStyle name="千分位 5 2 3 4 2" xfId="1365" xr:uid="{00000000-0005-0000-0000-000055050000}"/>
    <cellStyle name="千分位 5 2 3 4 2 2" xfId="1366" xr:uid="{00000000-0005-0000-0000-000056050000}"/>
    <cellStyle name="千分位 5 2 3 4 3" xfId="1367" xr:uid="{00000000-0005-0000-0000-000057050000}"/>
    <cellStyle name="千分位 5 2 3 5" xfId="1368" xr:uid="{00000000-0005-0000-0000-000058050000}"/>
    <cellStyle name="千分位 5 2 3 5 2" xfId="1369" xr:uid="{00000000-0005-0000-0000-000059050000}"/>
    <cellStyle name="千分位 5 2 3 6" xfId="1370" xr:uid="{00000000-0005-0000-0000-00005A050000}"/>
    <cellStyle name="千分位 5 2 4" xfId="1371" xr:uid="{00000000-0005-0000-0000-00005B050000}"/>
    <cellStyle name="千分位 5 2 4 2" xfId="1372" xr:uid="{00000000-0005-0000-0000-00005C050000}"/>
    <cellStyle name="千分位 5 2 4 2 2" xfId="1373" xr:uid="{00000000-0005-0000-0000-00005D050000}"/>
    <cellStyle name="千分位 5 2 4 2 2 2" xfId="1374" xr:uid="{00000000-0005-0000-0000-00005E050000}"/>
    <cellStyle name="千分位 5 2 4 2 3" xfId="1375" xr:uid="{00000000-0005-0000-0000-00005F050000}"/>
    <cellStyle name="千分位 5 2 4 3" xfId="1376" xr:uid="{00000000-0005-0000-0000-000060050000}"/>
    <cellStyle name="千分位 5 2 4 3 2" xfId="1377" xr:uid="{00000000-0005-0000-0000-000061050000}"/>
    <cellStyle name="千分位 5 2 4 4" xfId="1378" xr:uid="{00000000-0005-0000-0000-000062050000}"/>
    <cellStyle name="千分位 5 2 5" xfId="1379" xr:uid="{00000000-0005-0000-0000-000063050000}"/>
    <cellStyle name="千分位 5 2 5 2" xfId="1380" xr:uid="{00000000-0005-0000-0000-000064050000}"/>
    <cellStyle name="千分位 5 2 5 2 2" xfId="1381" xr:uid="{00000000-0005-0000-0000-000065050000}"/>
    <cellStyle name="千分位 5 2 5 2 2 2" xfId="1382" xr:uid="{00000000-0005-0000-0000-000066050000}"/>
    <cellStyle name="千分位 5 2 5 2 3" xfId="1383" xr:uid="{00000000-0005-0000-0000-000067050000}"/>
    <cellStyle name="千分位 5 2 5 3" xfId="1384" xr:uid="{00000000-0005-0000-0000-000068050000}"/>
    <cellStyle name="千分位 5 2 5 3 2" xfId="1385" xr:uid="{00000000-0005-0000-0000-000069050000}"/>
    <cellStyle name="千分位 5 2 5 4" xfId="1386" xr:uid="{00000000-0005-0000-0000-00006A050000}"/>
    <cellStyle name="千分位 5 2 6" xfId="1387" xr:uid="{00000000-0005-0000-0000-00006B050000}"/>
    <cellStyle name="千分位 5 2 6 2" xfId="1388" xr:uid="{00000000-0005-0000-0000-00006C050000}"/>
    <cellStyle name="千分位 5 2 6 2 2" xfId="1389" xr:uid="{00000000-0005-0000-0000-00006D050000}"/>
    <cellStyle name="千分位 5 2 6 3" xfId="1390" xr:uid="{00000000-0005-0000-0000-00006E050000}"/>
    <cellStyle name="千分位 5 2 7" xfId="1391" xr:uid="{00000000-0005-0000-0000-00006F050000}"/>
    <cellStyle name="千分位 5 2 7 2" xfId="1392" xr:uid="{00000000-0005-0000-0000-000070050000}"/>
    <cellStyle name="千分位 5 2 8" xfId="1393" xr:uid="{00000000-0005-0000-0000-000071050000}"/>
    <cellStyle name="千分位 5 3" xfId="1394" xr:uid="{00000000-0005-0000-0000-000072050000}"/>
    <cellStyle name="千分位 5 3 2" xfId="1395" xr:uid="{00000000-0005-0000-0000-000073050000}"/>
    <cellStyle name="千分位 5 3 2 2" xfId="1396" xr:uid="{00000000-0005-0000-0000-000074050000}"/>
    <cellStyle name="千分位 5 3 2 2 2" xfId="1397" xr:uid="{00000000-0005-0000-0000-000075050000}"/>
    <cellStyle name="千分位 5 3 2 2 2 2" xfId="1398" xr:uid="{00000000-0005-0000-0000-000076050000}"/>
    <cellStyle name="千分位 5 3 2 2 3" xfId="1399" xr:uid="{00000000-0005-0000-0000-000077050000}"/>
    <cellStyle name="千分位 5 3 2 3" xfId="1400" xr:uid="{00000000-0005-0000-0000-000078050000}"/>
    <cellStyle name="千分位 5 3 2 3 2" xfId="1401" xr:uid="{00000000-0005-0000-0000-000079050000}"/>
    <cellStyle name="千分位 5 3 2 4" xfId="1402" xr:uid="{00000000-0005-0000-0000-00007A050000}"/>
    <cellStyle name="千分位 5 3 3" xfId="1403" xr:uid="{00000000-0005-0000-0000-00007B050000}"/>
    <cellStyle name="千分位 5 3 3 2" xfId="1404" xr:uid="{00000000-0005-0000-0000-00007C050000}"/>
    <cellStyle name="千分位 5 3 3 2 2" xfId="1405" xr:uid="{00000000-0005-0000-0000-00007D050000}"/>
    <cellStyle name="千分位 5 3 3 2 2 2" xfId="1406" xr:uid="{00000000-0005-0000-0000-00007E050000}"/>
    <cellStyle name="千分位 5 3 3 2 3" xfId="1407" xr:uid="{00000000-0005-0000-0000-00007F050000}"/>
    <cellStyle name="千分位 5 3 3 3" xfId="1408" xr:uid="{00000000-0005-0000-0000-000080050000}"/>
    <cellStyle name="千分位 5 3 3 3 2" xfId="1409" xr:uid="{00000000-0005-0000-0000-000081050000}"/>
    <cellStyle name="千分位 5 3 3 4" xfId="1410" xr:uid="{00000000-0005-0000-0000-000082050000}"/>
    <cellStyle name="千分位 5 3 4" xfId="1411" xr:uid="{00000000-0005-0000-0000-000083050000}"/>
    <cellStyle name="千分位 5 3 4 2" xfId="1412" xr:uid="{00000000-0005-0000-0000-000084050000}"/>
    <cellStyle name="千分位 5 3 4 2 2" xfId="1413" xr:uid="{00000000-0005-0000-0000-000085050000}"/>
    <cellStyle name="千分位 5 3 4 3" xfId="1414" xr:uid="{00000000-0005-0000-0000-000086050000}"/>
    <cellStyle name="千分位 5 3 5" xfId="1415" xr:uid="{00000000-0005-0000-0000-000087050000}"/>
    <cellStyle name="千分位 5 3 5 2" xfId="1416" xr:uid="{00000000-0005-0000-0000-000088050000}"/>
    <cellStyle name="千分位 5 3 6" xfId="1417" xr:uid="{00000000-0005-0000-0000-000089050000}"/>
    <cellStyle name="千分位 5 4" xfId="1418" xr:uid="{00000000-0005-0000-0000-00008A050000}"/>
    <cellStyle name="千分位 5 4 2" xfId="1419" xr:uid="{00000000-0005-0000-0000-00008B050000}"/>
    <cellStyle name="千分位 5 4 2 2" xfId="1420" xr:uid="{00000000-0005-0000-0000-00008C050000}"/>
    <cellStyle name="千分位 5 4 2 2 2" xfId="1421" xr:uid="{00000000-0005-0000-0000-00008D050000}"/>
    <cellStyle name="千分位 5 4 2 2 2 2" xfId="1422" xr:uid="{00000000-0005-0000-0000-00008E050000}"/>
    <cellStyle name="千分位 5 4 2 2 3" xfId="1423" xr:uid="{00000000-0005-0000-0000-00008F050000}"/>
    <cellStyle name="千分位 5 4 2 3" xfId="1424" xr:uid="{00000000-0005-0000-0000-000090050000}"/>
    <cellStyle name="千分位 5 4 2 3 2" xfId="1425" xr:uid="{00000000-0005-0000-0000-000091050000}"/>
    <cellStyle name="千分位 5 4 2 4" xfId="1426" xr:uid="{00000000-0005-0000-0000-000092050000}"/>
    <cellStyle name="千分位 5 4 3" xfId="1427" xr:uid="{00000000-0005-0000-0000-000093050000}"/>
    <cellStyle name="千分位 5 4 3 2" xfId="1428" xr:uid="{00000000-0005-0000-0000-000094050000}"/>
    <cellStyle name="千分位 5 4 3 2 2" xfId="1429" xr:uid="{00000000-0005-0000-0000-000095050000}"/>
    <cellStyle name="千分位 5 4 3 2 2 2" xfId="1430" xr:uid="{00000000-0005-0000-0000-000096050000}"/>
    <cellStyle name="千分位 5 4 3 2 3" xfId="1431" xr:uid="{00000000-0005-0000-0000-000097050000}"/>
    <cellStyle name="千分位 5 4 3 3" xfId="1432" xr:uid="{00000000-0005-0000-0000-000098050000}"/>
    <cellStyle name="千分位 5 4 3 3 2" xfId="1433" xr:uid="{00000000-0005-0000-0000-000099050000}"/>
    <cellStyle name="千分位 5 4 3 4" xfId="1434" xr:uid="{00000000-0005-0000-0000-00009A050000}"/>
    <cellStyle name="千分位 5 4 4" xfId="1435" xr:uid="{00000000-0005-0000-0000-00009B050000}"/>
    <cellStyle name="千分位 5 4 4 2" xfId="1436" xr:uid="{00000000-0005-0000-0000-00009C050000}"/>
    <cellStyle name="千分位 5 4 4 2 2" xfId="1437" xr:uid="{00000000-0005-0000-0000-00009D050000}"/>
    <cellStyle name="千分位 5 4 4 3" xfId="1438" xr:uid="{00000000-0005-0000-0000-00009E050000}"/>
    <cellStyle name="千分位 5 4 5" xfId="1439" xr:uid="{00000000-0005-0000-0000-00009F050000}"/>
    <cellStyle name="千分位 5 4 5 2" xfId="1440" xr:uid="{00000000-0005-0000-0000-0000A0050000}"/>
    <cellStyle name="千分位 5 4 6" xfId="1441" xr:uid="{00000000-0005-0000-0000-0000A1050000}"/>
    <cellStyle name="千分位 5 5" xfId="1442" xr:uid="{00000000-0005-0000-0000-0000A2050000}"/>
    <cellStyle name="千分位 5 5 2" xfId="1443" xr:uid="{00000000-0005-0000-0000-0000A3050000}"/>
    <cellStyle name="千分位 5 5 2 2" xfId="1444" xr:uid="{00000000-0005-0000-0000-0000A4050000}"/>
    <cellStyle name="千分位 5 5 2 2 2" xfId="1445" xr:uid="{00000000-0005-0000-0000-0000A5050000}"/>
    <cellStyle name="千分位 5 5 2 3" xfId="1446" xr:uid="{00000000-0005-0000-0000-0000A6050000}"/>
    <cellStyle name="千分位 5 5 3" xfId="1447" xr:uid="{00000000-0005-0000-0000-0000A7050000}"/>
    <cellStyle name="千分位 5 5 3 2" xfId="1448" xr:uid="{00000000-0005-0000-0000-0000A8050000}"/>
    <cellStyle name="千分位 5 5 4" xfId="1449" xr:uid="{00000000-0005-0000-0000-0000A9050000}"/>
    <cellStyle name="千分位 5 6" xfId="1450" xr:uid="{00000000-0005-0000-0000-0000AA050000}"/>
    <cellStyle name="千分位 5 6 2" xfId="1451" xr:uid="{00000000-0005-0000-0000-0000AB050000}"/>
    <cellStyle name="千分位 5 6 2 2" xfId="1452" xr:uid="{00000000-0005-0000-0000-0000AC050000}"/>
    <cellStyle name="千分位 5 6 2 2 2" xfId="1453" xr:uid="{00000000-0005-0000-0000-0000AD050000}"/>
    <cellStyle name="千分位 5 6 2 3" xfId="1454" xr:uid="{00000000-0005-0000-0000-0000AE050000}"/>
    <cellStyle name="千分位 5 6 3" xfId="1455" xr:uid="{00000000-0005-0000-0000-0000AF050000}"/>
    <cellStyle name="千分位 5 6 3 2" xfId="1456" xr:uid="{00000000-0005-0000-0000-0000B0050000}"/>
    <cellStyle name="千分位 5 6 4" xfId="1457" xr:uid="{00000000-0005-0000-0000-0000B1050000}"/>
    <cellStyle name="千分位 5 7" xfId="1458" xr:uid="{00000000-0005-0000-0000-0000B2050000}"/>
    <cellStyle name="千分位 5 7 2" xfId="1459" xr:uid="{00000000-0005-0000-0000-0000B3050000}"/>
    <cellStyle name="千分位 5 7 2 2" xfId="1460" xr:uid="{00000000-0005-0000-0000-0000B4050000}"/>
    <cellStyle name="千分位 5 7 3" xfId="1461" xr:uid="{00000000-0005-0000-0000-0000B5050000}"/>
    <cellStyle name="千分位 5 8" xfId="1462" xr:uid="{00000000-0005-0000-0000-0000B6050000}"/>
    <cellStyle name="千分位 5 8 2" xfId="1463" xr:uid="{00000000-0005-0000-0000-0000B7050000}"/>
    <cellStyle name="千分位 5 9" xfId="1464" xr:uid="{00000000-0005-0000-0000-0000B8050000}"/>
    <cellStyle name="千分位 6" xfId="1465" xr:uid="{00000000-0005-0000-0000-0000B9050000}"/>
    <cellStyle name="千分位 6 10" xfId="1466" xr:uid="{00000000-0005-0000-0000-0000BA050000}"/>
    <cellStyle name="千分位 6 2" xfId="1467" xr:uid="{00000000-0005-0000-0000-0000BB050000}"/>
    <cellStyle name="千分位 6 2 2" xfId="1468" xr:uid="{00000000-0005-0000-0000-0000BC050000}"/>
    <cellStyle name="千分位 6 2 2 2" xfId="1469" xr:uid="{00000000-0005-0000-0000-0000BD050000}"/>
    <cellStyle name="千分位 6 2 2 2 2" xfId="1470" xr:uid="{00000000-0005-0000-0000-0000BE050000}"/>
    <cellStyle name="千分位 6 2 2 2 2 2" xfId="1471" xr:uid="{00000000-0005-0000-0000-0000BF050000}"/>
    <cellStyle name="千分位 6 2 2 2 2 2 2" xfId="1472" xr:uid="{00000000-0005-0000-0000-0000C0050000}"/>
    <cellStyle name="千分位 6 2 2 2 2 3" xfId="1473" xr:uid="{00000000-0005-0000-0000-0000C1050000}"/>
    <cellStyle name="千分位 6 2 2 2 3" xfId="1474" xr:uid="{00000000-0005-0000-0000-0000C2050000}"/>
    <cellStyle name="千分位 6 2 2 2 3 2" xfId="1475" xr:uid="{00000000-0005-0000-0000-0000C3050000}"/>
    <cellStyle name="千分位 6 2 2 2 4" xfId="1476" xr:uid="{00000000-0005-0000-0000-0000C4050000}"/>
    <cellStyle name="千分位 6 2 2 3" xfId="1477" xr:uid="{00000000-0005-0000-0000-0000C5050000}"/>
    <cellStyle name="千分位 6 2 2 3 2" xfId="1478" xr:uid="{00000000-0005-0000-0000-0000C6050000}"/>
    <cellStyle name="千分位 6 2 2 3 2 2" xfId="1479" xr:uid="{00000000-0005-0000-0000-0000C7050000}"/>
    <cellStyle name="千分位 6 2 2 3 2 2 2" xfId="1480" xr:uid="{00000000-0005-0000-0000-0000C8050000}"/>
    <cellStyle name="千分位 6 2 2 3 2 3" xfId="1481" xr:uid="{00000000-0005-0000-0000-0000C9050000}"/>
    <cellStyle name="千分位 6 2 2 3 3" xfId="1482" xr:uid="{00000000-0005-0000-0000-0000CA050000}"/>
    <cellStyle name="千分位 6 2 2 3 3 2" xfId="1483" xr:uid="{00000000-0005-0000-0000-0000CB050000}"/>
    <cellStyle name="千分位 6 2 2 3 4" xfId="1484" xr:uid="{00000000-0005-0000-0000-0000CC050000}"/>
    <cellStyle name="千分位 6 2 2 4" xfId="1485" xr:uid="{00000000-0005-0000-0000-0000CD050000}"/>
    <cellStyle name="千分位 6 2 2 4 2" xfId="1486" xr:uid="{00000000-0005-0000-0000-0000CE050000}"/>
    <cellStyle name="千分位 6 2 2 4 2 2" xfId="1487" xr:uid="{00000000-0005-0000-0000-0000CF050000}"/>
    <cellStyle name="千分位 6 2 2 4 3" xfId="1488" xr:uid="{00000000-0005-0000-0000-0000D0050000}"/>
    <cellStyle name="千分位 6 2 2 5" xfId="1489" xr:uid="{00000000-0005-0000-0000-0000D1050000}"/>
    <cellStyle name="千分位 6 2 2 5 2" xfId="1490" xr:uid="{00000000-0005-0000-0000-0000D2050000}"/>
    <cellStyle name="千分位 6 2 2 6" xfId="1491" xr:uid="{00000000-0005-0000-0000-0000D3050000}"/>
    <cellStyle name="千分位 6 2 3" xfId="1492" xr:uid="{00000000-0005-0000-0000-0000D4050000}"/>
    <cellStyle name="千分位 6 2 3 2" xfId="1493" xr:uid="{00000000-0005-0000-0000-0000D5050000}"/>
    <cellStyle name="千分位 6 2 3 2 2" xfId="1494" xr:uid="{00000000-0005-0000-0000-0000D6050000}"/>
    <cellStyle name="千分位 6 2 3 2 2 2" xfId="1495" xr:uid="{00000000-0005-0000-0000-0000D7050000}"/>
    <cellStyle name="千分位 6 2 3 2 2 2 2" xfId="1496" xr:uid="{00000000-0005-0000-0000-0000D8050000}"/>
    <cellStyle name="千分位 6 2 3 2 2 3" xfId="1497" xr:uid="{00000000-0005-0000-0000-0000D9050000}"/>
    <cellStyle name="千分位 6 2 3 2 3" xfId="1498" xr:uid="{00000000-0005-0000-0000-0000DA050000}"/>
    <cellStyle name="千分位 6 2 3 2 3 2" xfId="1499" xr:uid="{00000000-0005-0000-0000-0000DB050000}"/>
    <cellStyle name="千分位 6 2 3 2 4" xfId="1500" xr:uid="{00000000-0005-0000-0000-0000DC050000}"/>
    <cellStyle name="千分位 6 2 3 3" xfId="1501" xr:uid="{00000000-0005-0000-0000-0000DD050000}"/>
    <cellStyle name="千分位 6 2 3 3 2" xfId="1502" xr:uid="{00000000-0005-0000-0000-0000DE050000}"/>
    <cellStyle name="千分位 6 2 3 3 2 2" xfId="1503" xr:uid="{00000000-0005-0000-0000-0000DF050000}"/>
    <cellStyle name="千分位 6 2 3 3 2 2 2" xfId="1504" xr:uid="{00000000-0005-0000-0000-0000E0050000}"/>
    <cellStyle name="千分位 6 2 3 3 2 3" xfId="1505" xr:uid="{00000000-0005-0000-0000-0000E1050000}"/>
    <cellStyle name="千分位 6 2 3 3 3" xfId="1506" xr:uid="{00000000-0005-0000-0000-0000E2050000}"/>
    <cellStyle name="千分位 6 2 3 3 3 2" xfId="1507" xr:uid="{00000000-0005-0000-0000-0000E3050000}"/>
    <cellStyle name="千分位 6 2 3 3 4" xfId="1508" xr:uid="{00000000-0005-0000-0000-0000E4050000}"/>
    <cellStyle name="千分位 6 2 3 4" xfId="1509" xr:uid="{00000000-0005-0000-0000-0000E5050000}"/>
    <cellStyle name="千分位 6 2 3 4 2" xfId="1510" xr:uid="{00000000-0005-0000-0000-0000E6050000}"/>
    <cellStyle name="千分位 6 2 3 4 2 2" xfId="1511" xr:uid="{00000000-0005-0000-0000-0000E7050000}"/>
    <cellStyle name="千分位 6 2 3 4 3" xfId="1512" xr:uid="{00000000-0005-0000-0000-0000E8050000}"/>
    <cellStyle name="千分位 6 2 3 5" xfId="1513" xr:uid="{00000000-0005-0000-0000-0000E9050000}"/>
    <cellStyle name="千分位 6 2 3 5 2" xfId="1514" xr:uid="{00000000-0005-0000-0000-0000EA050000}"/>
    <cellStyle name="千分位 6 2 3 6" xfId="1515" xr:uid="{00000000-0005-0000-0000-0000EB050000}"/>
    <cellStyle name="千分位 6 2 4" xfId="1516" xr:uid="{00000000-0005-0000-0000-0000EC050000}"/>
    <cellStyle name="千分位 6 2 4 2" xfId="1517" xr:uid="{00000000-0005-0000-0000-0000ED050000}"/>
    <cellStyle name="千分位 6 2 4 2 2" xfId="1518" xr:uid="{00000000-0005-0000-0000-0000EE050000}"/>
    <cellStyle name="千分位 6 2 4 2 2 2" xfId="1519" xr:uid="{00000000-0005-0000-0000-0000EF050000}"/>
    <cellStyle name="千分位 6 2 4 2 3" xfId="1520" xr:uid="{00000000-0005-0000-0000-0000F0050000}"/>
    <cellStyle name="千分位 6 2 4 3" xfId="1521" xr:uid="{00000000-0005-0000-0000-0000F1050000}"/>
    <cellStyle name="千分位 6 2 4 3 2" xfId="1522" xr:uid="{00000000-0005-0000-0000-0000F2050000}"/>
    <cellStyle name="千分位 6 2 4 4" xfId="1523" xr:uid="{00000000-0005-0000-0000-0000F3050000}"/>
    <cellStyle name="千分位 6 2 5" xfId="1524" xr:uid="{00000000-0005-0000-0000-0000F4050000}"/>
    <cellStyle name="千分位 6 2 5 2" xfId="1525" xr:uid="{00000000-0005-0000-0000-0000F5050000}"/>
    <cellStyle name="千分位 6 2 5 2 2" xfId="1526" xr:uid="{00000000-0005-0000-0000-0000F6050000}"/>
    <cellStyle name="千分位 6 2 5 2 2 2" xfId="1527" xr:uid="{00000000-0005-0000-0000-0000F7050000}"/>
    <cellStyle name="千分位 6 2 5 2 3" xfId="1528" xr:uid="{00000000-0005-0000-0000-0000F8050000}"/>
    <cellStyle name="千分位 6 2 5 3" xfId="1529" xr:uid="{00000000-0005-0000-0000-0000F9050000}"/>
    <cellStyle name="千分位 6 2 5 3 2" xfId="1530" xr:uid="{00000000-0005-0000-0000-0000FA050000}"/>
    <cellStyle name="千分位 6 2 5 4" xfId="1531" xr:uid="{00000000-0005-0000-0000-0000FB050000}"/>
    <cellStyle name="千分位 6 2 6" xfId="1532" xr:uid="{00000000-0005-0000-0000-0000FC050000}"/>
    <cellStyle name="千分位 6 2 6 2" xfId="1533" xr:uid="{00000000-0005-0000-0000-0000FD050000}"/>
    <cellStyle name="千分位 6 2 6 2 2" xfId="1534" xr:uid="{00000000-0005-0000-0000-0000FE050000}"/>
    <cellStyle name="千分位 6 2 6 3" xfId="1535" xr:uid="{00000000-0005-0000-0000-0000FF050000}"/>
    <cellStyle name="千分位 6 2 7" xfId="1536" xr:uid="{00000000-0005-0000-0000-000000060000}"/>
    <cellStyle name="千分位 6 2 7 2" xfId="1537" xr:uid="{00000000-0005-0000-0000-000001060000}"/>
    <cellStyle name="千分位 6 2 8" xfId="1538" xr:uid="{00000000-0005-0000-0000-000002060000}"/>
    <cellStyle name="千分位 6 3" xfId="1539" xr:uid="{00000000-0005-0000-0000-000003060000}"/>
    <cellStyle name="千分位 6 3 2" xfId="1540" xr:uid="{00000000-0005-0000-0000-000004060000}"/>
    <cellStyle name="千分位 6 3 2 2" xfId="1541" xr:uid="{00000000-0005-0000-0000-000005060000}"/>
    <cellStyle name="千分位 6 3 2 2 2" xfId="1542" xr:uid="{00000000-0005-0000-0000-000006060000}"/>
    <cellStyle name="千分位 6 3 2 2 2 2" xfId="1543" xr:uid="{00000000-0005-0000-0000-000007060000}"/>
    <cellStyle name="千分位 6 3 2 2 2 2 2" xfId="1544" xr:uid="{00000000-0005-0000-0000-000008060000}"/>
    <cellStyle name="千分位 6 3 2 2 2 3" xfId="1545" xr:uid="{00000000-0005-0000-0000-000009060000}"/>
    <cellStyle name="千分位 6 3 2 2 3" xfId="1546" xr:uid="{00000000-0005-0000-0000-00000A060000}"/>
    <cellStyle name="千分位 6 3 2 2 3 2" xfId="1547" xr:uid="{00000000-0005-0000-0000-00000B060000}"/>
    <cellStyle name="千分位 6 3 2 2 4" xfId="1548" xr:uid="{00000000-0005-0000-0000-00000C060000}"/>
    <cellStyle name="千分位 6 3 2 3" xfId="1549" xr:uid="{00000000-0005-0000-0000-00000D060000}"/>
    <cellStyle name="千分位 6 3 2 3 2" xfId="1550" xr:uid="{00000000-0005-0000-0000-00000E060000}"/>
    <cellStyle name="千分位 6 3 2 3 2 2" xfId="1551" xr:uid="{00000000-0005-0000-0000-00000F060000}"/>
    <cellStyle name="千分位 6 3 2 3 2 2 2" xfId="1552" xr:uid="{00000000-0005-0000-0000-000010060000}"/>
    <cellStyle name="千分位 6 3 2 3 2 3" xfId="1553" xr:uid="{00000000-0005-0000-0000-000011060000}"/>
    <cellStyle name="千分位 6 3 2 3 3" xfId="1554" xr:uid="{00000000-0005-0000-0000-000012060000}"/>
    <cellStyle name="千分位 6 3 2 3 3 2" xfId="1555" xr:uid="{00000000-0005-0000-0000-000013060000}"/>
    <cellStyle name="千分位 6 3 2 3 4" xfId="1556" xr:uid="{00000000-0005-0000-0000-000014060000}"/>
    <cellStyle name="千分位 6 3 2 4" xfId="1557" xr:uid="{00000000-0005-0000-0000-000015060000}"/>
    <cellStyle name="千分位 6 3 2 4 2" xfId="1558" xr:uid="{00000000-0005-0000-0000-000016060000}"/>
    <cellStyle name="千分位 6 3 2 4 2 2" xfId="1559" xr:uid="{00000000-0005-0000-0000-000017060000}"/>
    <cellStyle name="千分位 6 3 2 4 3" xfId="1560" xr:uid="{00000000-0005-0000-0000-000018060000}"/>
    <cellStyle name="千分位 6 3 2 5" xfId="1561" xr:uid="{00000000-0005-0000-0000-000019060000}"/>
    <cellStyle name="千分位 6 3 2 5 2" xfId="1562" xr:uid="{00000000-0005-0000-0000-00001A060000}"/>
    <cellStyle name="千分位 6 3 2 6" xfId="1563" xr:uid="{00000000-0005-0000-0000-00001B060000}"/>
    <cellStyle name="千分位 6 3 3" xfId="1564" xr:uid="{00000000-0005-0000-0000-00001C060000}"/>
    <cellStyle name="千分位 6 3 3 2" xfId="1565" xr:uid="{00000000-0005-0000-0000-00001D060000}"/>
    <cellStyle name="千分位 6 3 3 2 2" xfId="1566" xr:uid="{00000000-0005-0000-0000-00001E060000}"/>
    <cellStyle name="千分位 6 3 3 2 2 2" xfId="1567" xr:uid="{00000000-0005-0000-0000-00001F060000}"/>
    <cellStyle name="千分位 6 3 3 2 2 2 2" xfId="1568" xr:uid="{00000000-0005-0000-0000-000020060000}"/>
    <cellStyle name="千分位 6 3 3 2 2 3" xfId="1569" xr:uid="{00000000-0005-0000-0000-000021060000}"/>
    <cellStyle name="千分位 6 3 3 2 3" xfId="1570" xr:uid="{00000000-0005-0000-0000-000022060000}"/>
    <cellStyle name="千分位 6 3 3 2 3 2" xfId="1571" xr:uid="{00000000-0005-0000-0000-000023060000}"/>
    <cellStyle name="千分位 6 3 3 2 4" xfId="1572" xr:uid="{00000000-0005-0000-0000-000024060000}"/>
    <cellStyle name="千分位 6 3 3 3" xfId="1573" xr:uid="{00000000-0005-0000-0000-000025060000}"/>
    <cellStyle name="千分位 6 3 3 3 2" xfId="1574" xr:uid="{00000000-0005-0000-0000-000026060000}"/>
    <cellStyle name="千分位 6 3 3 3 2 2" xfId="1575" xr:uid="{00000000-0005-0000-0000-000027060000}"/>
    <cellStyle name="千分位 6 3 3 3 2 2 2" xfId="1576" xr:uid="{00000000-0005-0000-0000-000028060000}"/>
    <cellStyle name="千分位 6 3 3 3 2 3" xfId="1577" xr:uid="{00000000-0005-0000-0000-000029060000}"/>
    <cellStyle name="千分位 6 3 3 3 3" xfId="1578" xr:uid="{00000000-0005-0000-0000-00002A060000}"/>
    <cellStyle name="千分位 6 3 3 3 3 2" xfId="1579" xr:uid="{00000000-0005-0000-0000-00002B060000}"/>
    <cellStyle name="千分位 6 3 3 3 4" xfId="1580" xr:uid="{00000000-0005-0000-0000-00002C060000}"/>
    <cellStyle name="千分位 6 3 3 4" xfId="1581" xr:uid="{00000000-0005-0000-0000-00002D060000}"/>
    <cellStyle name="千分位 6 3 3 4 2" xfId="1582" xr:uid="{00000000-0005-0000-0000-00002E060000}"/>
    <cellStyle name="千分位 6 3 3 4 2 2" xfId="1583" xr:uid="{00000000-0005-0000-0000-00002F060000}"/>
    <cellStyle name="千分位 6 3 3 4 3" xfId="1584" xr:uid="{00000000-0005-0000-0000-000030060000}"/>
    <cellStyle name="千分位 6 3 3 5" xfId="1585" xr:uid="{00000000-0005-0000-0000-000031060000}"/>
    <cellStyle name="千分位 6 3 3 5 2" xfId="1586" xr:uid="{00000000-0005-0000-0000-000032060000}"/>
    <cellStyle name="千分位 6 3 3 6" xfId="1587" xr:uid="{00000000-0005-0000-0000-000033060000}"/>
    <cellStyle name="千分位 6 3 4" xfId="1588" xr:uid="{00000000-0005-0000-0000-000034060000}"/>
    <cellStyle name="千分位 6 3 4 2" xfId="1589" xr:uid="{00000000-0005-0000-0000-000035060000}"/>
    <cellStyle name="千分位 6 3 4 2 2" xfId="1590" xr:uid="{00000000-0005-0000-0000-000036060000}"/>
    <cellStyle name="千分位 6 3 4 2 2 2" xfId="1591" xr:uid="{00000000-0005-0000-0000-000037060000}"/>
    <cellStyle name="千分位 6 3 4 2 3" xfId="1592" xr:uid="{00000000-0005-0000-0000-000038060000}"/>
    <cellStyle name="千分位 6 3 4 3" xfId="1593" xr:uid="{00000000-0005-0000-0000-000039060000}"/>
    <cellStyle name="千分位 6 3 4 3 2" xfId="1594" xr:uid="{00000000-0005-0000-0000-00003A060000}"/>
    <cellStyle name="千分位 6 3 4 4" xfId="1595" xr:uid="{00000000-0005-0000-0000-00003B060000}"/>
    <cellStyle name="千分位 6 3 5" xfId="1596" xr:uid="{00000000-0005-0000-0000-00003C060000}"/>
    <cellStyle name="千分位 6 3 5 2" xfId="1597" xr:uid="{00000000-0005-0000-0000-00003D060000}"/>
    <cellStyle name="千分位 6 3 5 2 2" xfId="1598" xr:uid="{00000000-0005-0000-0000-00003E060000}"/>
    <cellStyle name="千分位 6 3 5 2 2 2" xfId="1599" xr:uid="{00000000-0005-0000-0000-00003F060000}"/>
    <cellStyle name="千分位 6 3 5 2 3" xfId="1600" xr:uid="{00000000-0005-0000-0000-000040060000}"/>
    <cellStyle name="千分位 6 3 5 3" xfId="1601" xr:uid="{00000000-0005-0000-0000-000041060000}"/>
    <cellStyle name="千分位 6 3 5 3 2" xfId="1602" xr:uid="{00000000-0005-0000-0000-000042060000}"/>
    <cellStyle name="千分位 6 3 5 4" xfId="1603" xr:uid="{00000000-0005-0000-0000-000043060000}"/>
    <cellStyle name="千分位 6 3 6" xfId="1604" xr:uid="{00000000-0005-0000-0000-000044060000}"/>
    <cellStyle name="千分位 6 3 6 2" xfId="1605" xr:uid="{00000000-0005-0000-0000-000045060000}"/>
    <cellStyle name="千分位 6 3 6 2 2" xfId="1606" xr:uid="{00000000-0005-0000-0000-000046060000}"/>
    <cellStyle name="千分位 6 3 6 3" xfId="1607" xr:uid="{00000000-0005-0000-0000-000047060000}"/>
    <cellStyle name="千分位 6 3 7" xfId="1608" xr:uid="{00000000-0005-0000-0000-000048060000}"/>
    <cellStyle name="千分位 6 3 7 2" xfId="1609" xr:uid="{00000000-0005-0000-0000-000049060000}"/>
    <cellStyle name="千分位 6 3 8" xfId="1610" xr:uid="{00000000-0005-0000-0000-00004A060000}"/>
    <cellStyle name="千分位 6 4" xfId="1611" xr:uid="{00000000-0005-0000-0000-00004B060000}"/>
    <cellStyle name="千分位 6 4 2" xfId="1612" xr:uid="{00000000-0005-0000-0000-00004C060000}"/>
    <cellStyle name="千分位 6 4 2 2" xfId="1613" xr:uid="{00000000-0005-0000-0000-00004D060000}"/>
    <cellStyle name="千分位 6 4 2 2 2" xfId="1614" xr:uid="{00000000-0005-0000-0000-00004E060000}"/>
    <cellStyle name="千分位 6 4 2 2 2 2" xfId="1615" xr:uid="{00000000-0005-0000-0000-00004F060000}"/>
    <cellStyle name="千分位 6 4 2 2 3" xfId="1616" xr:uid="{00000000-0005-0000-0000-000050060000}"/>
    <cellStyle name="千分位 6 4 2 3" xfId="1617" xr:uid="{00000000-0005-0000-0000-000051060000}"/>
    <cellStyle name="千分位 6 4 2 3 2" xfId="1618" xr:uid="{00000000-0005-0000-0000-000052060000}"/>
    <cellStyle name="千分位 6 4 2 4" xfId="1619" xr:uid="{00000000-0005-0000-0000-000053060000}"/>
    <cellStyle name="千分位 6 4 3" xfId="1620" xr:uid="{00000000-0005-0000-0000-000054060000}"/>
    <cellStyle name="千分位 6 4 3 2" xfId="1621" xr:uid="{00000000-0005-0000-0000-000055060000}"/>
    <cellStyle name="千分位 6 4 3 2 2" xfId="1622" xr:uid="{00000000-0005-0000-0000-000056060000}"/>
    <cellStyle name="千分位 6 4 3 2 2 2" xfId="1623" xr:uid="{00000000-0005-0000-0000-000057060000}"/>
    <cellStyle name="千分位 6 4 3 2 3" xfId="1624" xr:uid="{00000000-0005-0000-0000-000058060000}"/>
    <cellStyle name="千分位 6 4 3 3" xfId="1625" xr:uid="{00000000-0005-0000-0000-000059060000}"/>
    <cellStyle name="千分位 6 4 3 3 2" xfId="1626" xr:uid="{00000000-0005-0000-0000-00005A060000}"/>
    <cellStyle name="千分位 6 4 3 4" xfId="1627" xr:uid="{00000000-0005-0000-0000-00005B060000}"/>
    <cellStyle name="千分位 6 4 4" xfId="1628" xr:uid="{00000000-0005-0000-0000-00005C060000}"/>
    <cellStyle name="千分位 6 4 4 2" xfId="1629" xr:uid="{00000000-0005-0000-0000-00005D060000}"/>
    <cellStyle name="千分位 6 4 4 2 2" xfId="1630" xr:uid="{00000000-0005-0000-0000-00005E060000}"/>
    <cellStyle name="千分位 6 4 4 3" xfId="1631" xr:uid="{00000000-0005-0000-0000-00005F060000}"/>
    <cellStyle name="千分位 6 4 5" xfId="1632" xr:uid="{00000000-0005-0000-0000-000060060000}"/>
    <cellStyle name="千分位 6 4 5 2" xfId="1633" xr:uid="{00000000-0005-0000-0000-000061060000}"/>
    <cellStyle name="千分位 6 4 6" xfId="1634" xr:uid="{00000000-0005-0000-0000-000062060000}"/>
    <cellStyle name="千分位 6 5" xfId="1635" xr:uid="{00000000-0005-0000-0000-000063060000}"/>
    <cellStyle name="千分位 6 5 2" xfId="1636" xr:uid="{00000000-0005-0000-0000-000064060000}"/>
    <cellStyle name="千分位 6 5 2 2" xfId="1637" xr:uid="{00000000-0005-0000-0000-000065060000}"/>
    <cellStyle name="千分位 6 5 2 2 2" xfId="1638" xr:uid="{00000000-0005-0000-0000-000066060000}"/>
    <cellStyle name="千分位 6 5 2 2 2 2" xfId="1639" xr:uid="{00000000-0005-0000-0000-000067060000}"/>
    <cellStyle name="千分位 6 5 2 2 3" xfId="1640" xr:uid="{00000000-0005-0000-0000-000068060000}"/>
    <cellStyle name="千分位 6 5 2 3" xfId="1641" xr:uid="{00000000-0005-0000-0000-000069060000}"/>
    <cellStyle name="千分位 6 5 2 3 2" xfId="1642" xr:uid="{00000000-0005-0000-0000-00006A060000}"/>
    <cellStyle name="千分位 6 5 2 4" xfId="1643" xr:uid="{00000000-0005-0000-0000-00006B060000}"/>
    <cellStyle name="千分位 6 5 3" xfId="1644" xr:uid="{00000000-0005-0000-0000-00006C060000}"/>
    <cellStyle name="千分位 6 5 3 2" xfId="1645" xr:uid="{00000000-0005-0000-0000-00006D060000}"/>
    <cellStyle name="千分位 6 5 3 2 2" xfId="1646" xr:uid="{00000000-0005-0000-0000-00006E060000}"/>
    <cellStyle name="千分位 6 5 3 2 2 2" xfId="1647" xr:uid="{00000000-0005-0000-0000-00006F060000}"/>
    <cellStyle name="千分位 6 5 3 2 3" xfId="1648" xr:uid="{00000000-0005-0000-0000-000070060000}"/>
    <cellStyle name="千分位 6 5 3 3" xfId="1649" xr:uid="{00000000-0005-0000-0000-000071060000}"/>
    <cellStyle name="千分位 6 5 3 3 2" xfId="1650" xr:uid="{00000000-0005-0000-0000-000072060000}"/>
    <cellStyle name="千分位 6 5 3 4" xfId="1651" xr:uid="{00000000-0005-0000-0000-000073060000}"/>
    <cellStyle name="千分位 6 5 4" xfId="1652" xr:uid="{00000000-0005-0000-0000-000074060000}"/>
    <cellStyle name="千分位 6 5 4 2" xfId="1653" xr:uid="{00000000-0005-0000-0000-000075060000}"/>
    <cellStyle name="千分位 6 5 4 2 2" xfId="1654" xr:uid="{00000000-0005-0000-0000-000076060000}"/>
    <cellStyle name="千分位 6 5 4 3" xfId="1655" xr:uid="{00000000-0005-0000-0000-000077060000}"/>
    <cellStyle name="千分位 6 5 5" xfId="1656" xr:uid="{00000000-0005-0000-0000-000078060000}"/>
    <cellStyle name="千分位 6 5 5 2" xfId="1657" xr:uid="{00000000-0005-0000-0000-000079060000}"/>
    <cellStyle name="千分位 6 5 6" xfId="1658" xr:uid="{00000000-0005-0000-0000-00007A060000}"/>
    <cellStyle name="千分位 6 6" xfId="1659" xr:uid="{00000000-0005-0000-0000-00007B060000}"/>
    <cellStyle name="千分位 6 6 2" xfId="1660" xr:uid="{00000000-0005-0000-0000-00007C060000}"/>
    <cellStyle name="千分位 6 6 2 2" xfId="1661" xr:uid="{00000000-0005-0000-0000-00007D060000}"/>
    <cellStyle name="千分位 6 6 2 2 2" xfId="1662" xr:uid="{00000000-0005-0000-0000-00007E060000}"/>
    <cellStyle name="千分位 6 6 2 3" xfId="1663" xr:uid="{00000000-0005-0000-0000-00007F060000}"/>
    <cellStyle name="千分位 6 6 3" xfId="1664" xr:uid="{00000000-0005-0000-0000-000080060000}"/>
    <cellStyle name="千分位 6 6 3 2" xfId="1665" xr:uid="{00000000-0005-0000-0000-000081060000}"/>
    <cellStyle name="千分位 6 6 4" xfId="1666" xr:uid="{00000000-0005-0000-0000-000082060000}"/>
    <cellStyle name="千分位 6 7" xfId="1667" xr:uid="{00000000-0005-0000-0000-000083060000}"/>
    <cellStyle name="千分位 6 7 2" xfId="1668" xr:uid="{00000000-0005-0000-0000-000084060000}"/>
    <cellStyle name="千分位 6 7 2 2" xfId="1669" xr:uid="{00000000-0005-0000-0000-000085060000}"/>
    <cellStyle name="千分位 6 7 2 2 2" xfId="1670" xr:uid="{00000000-0005-0000-0000-000086060000}"/>
    <cellStyle name="千分位 6 7 2 3" xfId="1671" xr:uid="{00000000-0005-0000-0000-000087060000}"/>
    <cellStyle name="千分位 6 7 3" xfId="1672" xr:uid="{00000000-0005-0000-0000-000088060000}"/>
    <cellStyle name="千分位 6 7 3 2" xfId="1673" xr:uid="{00000000-0005-0000-0000-000089060000}"/>
    <cellStyle name="千分位 6 7 4" xfId="1674" xr:uid="{00000000-0005-0000-0000-00008A060000}"/>
    <cellStyle name="千分位 6 8" xfId="1675" xr:uid="{00000000-0005-0000-0000-00008B060000}"/>
    <cellStyle name="千分位 6 8 2" xfId="1676" xr:uid="{00000000-0005-0000-0000-00008C060000}"/>
    <cellStyle name="千分位 6 8 2 2" xfId="1677" xr:uid="{00000000-0005-0000-0000-00008D060000}"/>
    <cellStyle name="千分位 6 8 3" xfId="1678" xr:uid="{00000000-0005-0000-0000-00008E060000}"/>
    <cellStyle name="千分位 6 9" xfId="1679" xr:uid="{00000000-0005-0000-0000-00008F060000}"/>
    <cellStyle name="千分位 6 9 2" xfId="1680" xr:uid="{00000000-0005-0000-0000-000090060000}"/>
    <cellStyle name="千分位 7" xfId="1681" xr:uid="{00000000-0005-0000-0000-000091060000}"/>
    <cellStyle name="千分位 7 2" xfId="1682" xr:uid="{00000000-0005-0000-0000-000092060000}"/>
    <cellStyle name="千分位 7 2 2" xfId="1683" xr:uid="{00000000-0005-0000-0000-000093060000}"/>
    <cellStyle name="千分位 7 2 2 2" xfId="1684" xr:uid="{00000000-0005-0000-0000-000094060000}"/>
    <cellStyle name="千分位 7 2 2 2 2" xfId="1685" xr:uid="{00000000-0005-0000-0000-000095060000}"/>
    <cellStyle name="千分位 7 2 2 2 2 2" xfId="1686" xr:uid="{00000000-0005-0000-0000-000096060000}"/>
    <cellStyle name="千分位 7 2 2 2 2 2 2" xfId="1687" xr:uid="{00000000-0005-0000-0000-000097060000}"/>
    <cellStyle name="千分位 7 2 2 2 2 3" xfId="1688" xr:uid="{00000000-0005-0000-0000-000098060000}"/>
    <cellStyle name="千分位 7 2 2 2 3" xfId="1689" xr:uid="{00000000-0005-0000-0000-000099060000}"/>
    <cellStyle name="千分位 7 2 2 2 3 2" xfId="1690" xr:uid="{00000000-0005-0000-0000-00009A060000}"/>
    <cellStyle name="千分位 7 2 2 2 4" xfId="1691" xr:uid="{00000000-0005-0000-0000-00009B060000}"/>
    <cellStyle name="千分位 7 2 2 3" xfId="1692" xr:uid="{00000000-0005-0000-0000-00009C060000}"/>
    <cellStyle name="千分位 7 2 2 3 2" xfId="1693" xr:uid="{00000000-0005-0000-0000-00009D060000}"/>
    <cellStyle name="千分位 7 2 2 3 2 2" xfId="1694" xr:uid="{00000000-0005-0000-0000-00009E060000}"/>
    <cellStyle name="千分位 7 2 2 3 2 2 2" xfId="1695" xr:uid="{00000000-0005-0000-0000-00009F060000}"/>
    <cellStyle name="千分位 7 2 2 3 2 3" xfId="1696" xr:uid="{00000000-0005-0000-0000-0000A0060000}"/>
    <cellStyle name="千分位 7 2 2 3 3" xfId="1697" xr:uid="{00000000-0005-0000-0000-0000A1060000}"/>
    <cellStyle name="千分位 7 2 2 3 3 2" xfId="1698" xr:uid="{00000000-0005-0000-0000-0000A2060000}"/>
    <cellStyle name="千分位 7 2 2 3 4" xfId="1699" xr:uid="{00000000-0005-0000-0000-0000A3060000}"/>
    <cellStyle name="千分位 7 2 2 4" xfId="1700" xr:uid="{00000000-0005-0000-0000-0000A4060000}"/>
    <cellStyle name="千分位 7 2 2 4 2" xfId="1701" xr:uid="{00000000-0005-0000-0000-0000A5060000}"/>
    <cellStyle name="千分位 7 2 2 4 2 2" xfId="1702" xr:uid="{00000000-0005-0000-0000-0000A6060000}"/>
    <cellStyle name="千分位 7 2 2 4 3" xfId="1703" xr:uid="{00000000-0005-0000-0000-0000A7060000}"/>
    <cellStyle name="千分位 7 2 2 5" xfId="1704" xr:uid="{00000000-0005-0000-0000-0000A8060000}"/>
    <cellStyle name="千分位 7 2 2 5 2" xfId="1705" xr:uid="{00000000-0005-0000-0000-0000A9060000}"/>
    <cellStyle name="千分位 7 2 2 6" xfId="1706" xr:uid="{00000000-0005-0000-0000-0000AA060000}"/>
    <cellStyle name="千分位 7 2 3" xfId="1707" xr:uid="{00000000-0005-0000-0000-0000AB060000}"/>
    <cellStyle name="千分位 7 2 3 2" xfId="1708" xr:uid="{00000000-0005-0000-0000-0000AC060000}"/>
    <cellStyle name="千分位 7 2 3 2 2" xfId="1709" xr:uid="{00000000-0005-0000-0000-0000AD060000}"/>
    <cellStyle name="千分位 7 2 3 2 2 2" xfId="1710" xr:uid="{00000000-0005-0000-0000-0000AE060000}"/>
    <cellStyle name="千分位 7 2 3 2 2 2 2" xfId="1711" xr:uid="{00000000-0005-0000-0000-0000AF060000}"/>
    <cellStyle name="千分位 7 2 3 2 2 3" xfId="1712" xr:uid="{00000000-0005-0000-0000-0000B0060000}"/>
    <cellStyle name="千分位 7 2 3 2 3" xfId="1713" xr:uid="{00000000-0005-0000-0000-0000B1060000}"/>
    <cellStyle name="千分位 7 2 3 2 3 2" xfId="1714" xr:uid="{00000000-0005-0000-0000-0000B2060000}"/>
    <cellStyle name="千分位 7 2 3 2 4" xfId="1715" xr:uid="{00000000-0005-0000-0000-0000B3060000}"/>
    <cellStyle name="千分位 7 2 3 3" xfId="1716" xr:uid="{00000000-0005-0000-0000-0000B4060000}"/>
    <cellStyle name="千分位 7 2 3 3 2" xfId="1717" xr:uid="{00000000-0005-0000-0000-0000B5060000}"/>
    <cellStyle name="千分位 7 2 3 3 2 2" xfId="1718" xr:uid="{00000000-0005-0000-0000-0000B6060000}"/>
    <cellStyle name="千分位 7 2 3 3 2 2 2" xfId="1719" xr:uid="{00000000-0005-0000-0000-0000B7060000}"/>
    <cellStyle name="千分位 7 2 3 3 2 3" xfId="1720" xr:uid="{00000000-0005-0000-0000-0000B8060000}"/>
    <cellStyle name="千分位 7 2 3 3 3" xfId="1721" xr:uid="{00000000-0005-0000-0000-0000B9060000}"/>
    <cellStyle name="千分位 7 2 3 3 3 2" xfId="1722" xr:uid="{00000000-0005-0000-0000-0000BA060000}"/>
    <cellStyle name="千分位 7 2 3 3 4" xfId="1723" xr:uid="{00000000-0005-0000-0000-0000BB060000}"/>
    <cellStyle name="千分位 7 2 3 4" xfId="1724" xr:uid="{00000000-0005-0000-0000-0000BC060000}"/>
    <cellStyle name="千分位 7 2 3 4 2" xfId="1725" xr:uid="{00000000-0005-0000-0000-0000BD060000}"/>
    <cellStyle name="千分位 7 2 3 4 2 2" xfId="1726" xr:uid="{00000000-0005-0000-0000-0000BE060000}"/>
    <cellStyle name="千分位 7 2 3 4 3" xfId="1727" xr:uid="{00000000-0005-0000-0000-0000BF060000}"/>
    <cellStyle name="千分位 7 2 3 5" xfId="1728" xr:uid="{00000000-0005-0000-0000-0000C0060000}"/>
    <cellStyle name="千分位 7 2 3 5 2" xfId="1729" xr:uid="{00000000-0005-0000-0000-0000C1060000}"/>
    <cellStyle name="千分位 7 2 3 6" xfId="1730" xr:uid="{00000000-0005-0000-0000-0000C2060000}"/>
    <cellStyle name="千分位 7 2 4" xfId="1731" xr:uid="{00000000-0005-0000-0000-0000C3060000}"/>
    <cellStyle name="千分位 7 2 4 2" xfId="1732" xr:uid="{00000000-0005-0000-0000-0000C4060000}"/>
    <cellStyle name="千分位 7 2 4 2 2" xfId="1733" xr:uid="{00000000-0005-0000-0000-0000C5060000}"/>
    <cellStyle name="千分位 7 2 4 2 2 2" xfId="1734" xr:uid="{00000000-0005-0000-0000-0000C6060000}"/>
    <cellStyle name="千分位 7 2 4 2 3" xfId="1735" xr:uid="{00000000-0005-0000-0000-0000C7060000}"/>
    <cellStyle name="千分位 7 2 4 3" xfId="1736" xr:uid="{00000000-0005-0000-0000-0000C8060000}"/>
    <cellStyle name="千分位 7 2 4 3 2" xfId="1737" xr:uid="{00000000-0005-0000-0000-0000C9060000}"/>
    <cellStyle name="千分位 7 2 4 4" xfId="1738" xr:uid="{00000000-0005-0000-0000-0000CA060000}"/>
    <cellStyle name="千分位 7 2 5" xfId="1739" xr:uid="{00000000-0005-0000-0000-0000CB060000}"/>
    <cellStyle name="千分位 7 2 5 2" xfId="1740" xr:uid="{00000000-0005-0000-0000-0000CC060000}"/>
    <cellStyle name="千分位 7 2 5 2 2" xfId="1741" xr:uid="{00000000-0005-0000-0000-0000CD060000}"/>
    <cellStyle name="千分位 7 2 5 2 2 2" xfId="1742" xr:uid="{00000000-0005-0000-0000-0000CE060000}"/>
    <cellStyle name="千分位 7 2 5 2 3" xfId="1743" xr:uid="{00000000-0005-0000-0000-0000CF060000}"/>
    <cellStyle name="千分位 7 2 5 3" xfId="1744" xr:uid="{00000000-0005-0000-0000-0000D0060000}"/>
    <cellStyle name="千分位 7 2 5 3 2" xfId="1745" xr:uid="{00000000-0005-0000-0000-0000D1060000}"/>
    <cellStyle name="千分位 7 2 5 4" xfId="1746" xr:uid="{00000000-0005-0000-0000-0000D2060000}"/>
    <cellStyle name="千分位 7 2 6" xfId="1747" xr:uid="{00000000-0005-0000-0000-0000D3060000}"/>
    <cellStyle name="千分位 7 2 6 2" xfId="1748" xr:uid="{00000000-0005-0000-0000-0000D4060000}"/>
    <cellStyle name="千分位 7 2 6 2 2" xfId="1749" xr:uid="{00000000-0005-0000-0000-0000D5060000}"/>
    <cellStyle name="千分位 7 2 6 3" xfId="1750" xr:uid="{00000000-0005-0000-0000-0000D6060000}"/>
    <cellStyle name="千分位 7 2 7" xfId="1751" xr:uid="{00000000-0005-0000-0000-0000D7060000}"/>
    <cellStyle name="千分位 7 2 7 2" xfId="1752" xr:uid="{00000000-0005-0000-0000-0000D8060000}"/>
    <cellStyle name="千分位 7 2 8" xfId="1753" xr:uid="{00000000-0005-0000-0000-0000D9060000}"/>
    <cellStyle name="千分位 7 3" xfId="1754" xr:uid="{00000000-0005-0000-0000-0000DA060000}"/>
    <cellStyle name="千分位 7 3 2" xfId="1755" xr:uid="{00000000-0005-0000-0000-0000DB060000}"/>
    <cellStyle name="千分位 7 3 2 2" xfId="1756" xr:uid="{00000000-0005-0000-0000-0000DC060000}"/>
    <cellStyle name="千分位 7 3 2 2 2" xfId="1757" xr:uid="{00000000-0005-0000-0000-0000DD060000}"/>
    <cellStyle name="千分位 7 3 2 2 2 2" xfId="1758" xr:uid="{00000000-0005-0000-0000-0000DE060000}"/>
    <cellStyle name="千分位 7 3 2 2 3" xfId="1759" xr:uid="{00000000-0005-0000-0000-0000DF060000}"/>
    <cellStyle name="千分位 7 3 2 3" xfId="1760" xr:uid="{00000000-0005-0000-0000-0000E0060000}"/>
    <cellStyle name="千分位 7 3 2 3 2" xfId="1761" xr:uid="{00000000-0005-0000-0000-0000E1060000}"/>
    <cellStyle name="千分位 7 3 2 4" xfId="1762" xr:uid="{00000000-0005-0000-0000-0000E2060000}"/>
    <cellStyle name="千分位 7 3 3" xfId="1763" xr:uid="{00000000-0005-0000-0000-0000E3060000}"/>
    <cellStyle name="千分位 7 3 3 2" xfId="1764" xr:uid="{00000000-0005-0000-0000-0000E4060000}"/>
    <cellStyle name="千分位 7 3 3 2 2" xfId="1765" xr:uid="{00000000-0005-0000-0000-0000E5060000}"/>
    <cellStyle name="千分位 7 3 3 2 2 2" xfId="1766" xr:uid="{00000000-0005-0000-0000-0000E6060000}"/>
    <cellStyle name="千分位 7 3 3 2 3" xfId="1767" xr:uid="{00000000-0005-0000-0000-0000E7060000}"/>
    <cellStyle name="千分位 7 3 3 3" xfId="1768" xr:uid="{00000000-0005-0000-0000-0000E8060000}"/>
    <cellStyle name="千分位 7 3 3 3 2" xfId="1769" xr:uid="{00000000-0005-0000-0000-0000E9060000}"/>
    <cellStyle name="千分位 7 3 3 4" xfId="1770" xr:uid="{00000000-0005-0000-0000-0000EA060000}"/>
    <cellStyle name="千分位 7 3 4" xfId="1771" xr:uid="{00000000-0005-0000-0000-0000EB060000}"/>
    <cellStyle name="千分位 7 3 4 2" xfId="1772" xr:uid="{00000000-0005-0000-0000-0000EC060000}"/>
    <cellStyle name="千分位 7 3 4 2 2" xfId="1773" xr:uid="{00000000-0005-0000-0000-0000ED060000}"/>
    <cellStyle name="千分位 7 3 4 3" xfId="1774" xr:uid="{00000000-0005-0000-0000-0000EE060000}"/>
    <cellStyle name="千分位 7 3 5" xfId="1775" xr:uid="{00000000-0005-0000-0000-0000EF060000}"/>
    <cellStyle name="千分位 7 3 5 2" xfId="1776" xr:uid="{00000000-0005-0000-0000-0000F0060000}"/>
    <cellStyle name="千分位 7 3 6" xfId="1777" xr:uid="{00000000-0005-0000-0000-0000F1060000}"/>
    <cellStyle name="千分位 7 4" xfId="1778" xr:uid="{00000000-0005-0000-0000-0000F2060000}"/>
    <cellStyle name="千分位 7 4 2" xfId="1779" xr:uid="{00000000-0005-0000-0000-0000F3060000}"/>
    <cellStyle name="千分位 7 4 2 2" xfId="1780" xr:uid="{00000000-0005-0000-0000-0000F4060000}"/>
    <cellStyle name="千分位 7 4 2 2 2" xfId="1781" xr:uid="{00000000-0005-0000-0000-0000F5060000}"/>
    <cellStyle name="千分位 7 4 2 2 2 2" xfId="1782" xr:uid="{00000000-0005-0000-0000-0000F6060000}"/>
    <cellStyle name="千分位 7 4 2 2 3" xfId="1783" xr:uid="{00000000-0005-0000-0000-0000F7060000}"/>
    <cellStyle name="千分位 7 4 2 3" xfId="1784" xr:uid="{00000000-0005-0000-0000-0000F8060000}"/>
    <cellStyle name="千分位 7 4 2 3 2" xfId="1785" xr:uid="{00000000-0005-0000-0000-0000F9060000}"/>
    <cellStyle name="千分位 7 4 2 4" xfId="1786" xr:uid="{00000000-0005-0000-0000-0000FA060000}"/>
    <cellStyle name="千分位 7 4 3" xfId="1787" xr:uid="{00000000-0005-0000-0000-0000FB060000}"/>
    <cellStyle name="千分位 7 4 3 2" xfId="1788" xr:uid="{00000000-0005-0000-0000-0000FC060000}"/>
    <cellStyle name="千分位 7 4 3 2 2" xfId="1789" xr:uid="{00000000-0005-0000-0000-0000FD060000}"/>
    <cellStyle name="千分位 7 4 3 2 2 2" xfId="1790" xr:uid="{00000000-0005-0000-0000-0000FE060000}"/>
    <cellStyle name="千分位 7 4 3 2 3" xfId="1791" xr:uid="{00000000-0005-0000-0000-0000FF060000}"/>
    <cellStyle name="千分位 7 4 3 3" xfId="1792" xr:uid="{00000000-0005-0000-0000-000000070000}"/>
    <cellStyle name="千分位 7 4 3 3 2" xfId="1793" xr:uid="{00000000-0005-0000-0000-000001070000}"/>
    <cellStyle name="千分位 7 4 3 4" xfId="1794" xr:uid="{00000000-0005-0000-0000-000002070000}"/>
    <cellStyle name="千分位 7 4 4" xfId="1795" xr:uid="{00000000-0005-0000-0000-000003070000}"/>
    <cellStyle name="千分位 7 4 4 2" xfId="1796" xr:uid="{00000000-0005-0000-0000-000004070000}"/>
    <cellStyle name="千分位 7 4 4 2 2" xfId="1797" xr:uid="{00000000-0005-0000-0000-000005070000}"/>
    <cellStyle name="千分位 7 4 4 3" xfId="1798" xr:uid="{00000000-0005-0000-0000-000006070000}"/>
    <cellStyle name="千分位 7 4 5" xfId="1799" xr:uid="{00000000-0005-0000-0000-000007070000}"/>
    <cellStyle name="千分位 7 4 5 2" xfId="1800" xr:uid="{00000000-0005-0000-0000-000008070000}"/>
    <cellStyle name="千分位 7 4 6" xfId="1801" xr:uid="{00000000-0005-0000-0000-000009070000}"/>
    <cellStyle name="千分位 7 5" xfId="1802" xr:uid="{00000000-0005-0000-0000-00000A070000}"/>
    <cellStyle name="千分位 7 5 2" xfId="1803" xr:uid="{00000000-0005-0000-0000-00000B070000}"/>
    <cellStyle name="千分位 7 5 2 2" xfId="1804" xr:uid="{00000000-0005-0000-0000-00000C070000}"/>
    <cellStyle name="千分位 7 5 2 2 2" xfId="1805" xr:uid="{00000000-0005-0000-0000-00000D070000}"/>
    <cellStyle name="千分位 7 5 2 3" xfId="1806" xr:uid="{00000000-0005-0000-0000-00000E070000}"/>
    <cellStyle name="千分位 7 5 3" xfId="1807" xr:uid="{00000000-0005-0000-0000-00000F070000}"/>
    <cellStyle name="千分位 7 5 3 2" xfId="1808" xr:uid="{00000000-0005-0000-0000-000010070000}"/>
    <cellStyle name="千分位 7 5 4" xfId="1809" xr:uid="{00000000-0005-0000-0000-000011070000}"/>
    <cellStyle name="千分位 7 6" xfId="1810" xr:uid="{00000000-0005-0000-0000-000012070000}"/>
    <cellStyle name="千分位 7 6 2" xfId="1811" xr:uid="{00000000-0005-0000-0000-000013070000}"/>
    <cellStyle name="千分位 7 6 2 2" xfId="1812" xr:uid="{00000000-0005-0000-0000-000014070000}"/>
    <cellStyle name="千分位 7 6 2 2 2" xfId="1813" xr:uid="{00000000-0005-0000-0000-000015070000}"/>
    <cellStyle name="千分位 7 6 2 3" xfId="1814" xr:uid="{00000000-0005-0000-0000-000016070000}"/>
    <cellStyle name="千分位 7 6 3" xfId="1815" xr:uid="{00000000-0005-0000-0000-000017070000}"/>
    <cellStyle name="千分位 7 6 3 2" xfId="1816" xr:uid="{00000000-0005-0000-0000-000018070000}"/>
    <cellStyle name="千分位 7 6 4" xfId="1817" xr:uid="{00000000-0005-0000-0000-000019070000}"/>
    <cellStyle name="千分位 7 7" xfId="1818" xr:uid="{00000000-0005-0000-0000-00001A070000}"/>
    <cellStyle name="千分位 7 7 2" xfId="1819" xr:uid="{00000000-0005-0000-0000-00001B070000}"/>
    <cellStyle name="千分位 7 7 2 2" xfId="1820" xr:uid="{00000000-0005-0000-0000-00001C070000}"/>
    <cellStyle name="千分位 7 7 3" xfId="1821" xr:uid="{00000000-0005-0000-0000-00001D070000}"/>
    <cellStyle name="千分位 7 8" xfId="1822" xr:uid="{00000000-0005-0000-0000-00001E070000}"/>
    <cellStyle name="千分位 7 8 2" xfId="1823" xr:uid="{00000000-0005-0000-0000-00001F070000}"/>
    <cellStyle name="千分位 7 9" xfId="1824" xr:uid="{00000000-0005-0000-0000-000020070000}"/>
    <cellStyle name="千分位 8" xfId="1825" xr:uid="{00000000-0005-0000-0000-000021070000}"/>
    <cellStyle name="千分位 8 2" xfId="1826" xr:uid="{00000000-0005-0000-0000-000022070000}"/>
    <cellStyle name="千分位 8 2 2" xfId="1827" xr:uid="{00000000-0005-0000-0000-000023070000}"/>
    <cellStyle name="千分位 8 2 2 2" xfId="1828" xr:uid="{00000000-0005-0000-0000-000024070000}"/>
    <cellStyle name="千分位 8 2 2 2 2" xfId="1829" xr:uid="{00000000-0005-0000-0000-000025070000}"/>
    <cellStyle name="千分位 8 2 2 2 2 2" xfId="1830" xr:uid="{00000000-0005-0000-0000-000026070000}"/>
    <cellStyle name="千分位 8 2 2 2 3" xfId="1831" xr:uid="{00000000-0005-0000-0000-000027070000}"/>
    <cellStyle name="千分位 8 2 2 3" xfId="1832" xr:uid="{00000000-0005-0000-0000-000028070000}"/>
    <cellStyle name="千分位 8 2 2 3 2" xfId="1833" xr:uid="{00000000-0005-0000-0000-000029070000}"/>
    <cellStyle name="千分位 8 2 2 4" xfId="1834" xr:uid="{00000000-0005-0000-0000-00002A070000}"/>
    <cellStyle name="千分位 8 2 3" xfId="1835" xr:uid="{00000000-0005-0000-0000-00002B070000}"/>
    <cellStyle name="千分位 8 2 3 2" xfId="1836" xr:uid="{00000000-0005-0000-0000-00002C070000}"/>
    <cellStyle name="千分位 8 2 3 2 2" xfId="1837" xr:uid="{00000000-0005-0000-0000-00002D070000}"/>
    <cellStyle name="千分位 8 2 3 2 2 2" xfId="1838" xr:uid="{00000000-0005-0000-0000-00002E070000}"/>
    <cellStyle name="千分位 8 2 3 2 3" xfId="1839" xr:uid="{00000000-0005-0000-0000-00002F070000}"/>
    <cellStyle name="千分位 8 2 3 3" xfId="1840" xr:uid="{00000000-0005-0000-0000-000030070000}"/>
    <cellStyle name="千分位 8 2 3 3 2" xfId="1841" xr:uid="{00000000-0005-0000-0000-000031070000}"/>
    <cellStyle name="千分位 8 2 3 4" xfId="1842" xr:uid="{00000000-0005-0000-0000-000032070000}"/>
    <cellStyle name="千分位 8 2 4" xfId="1843" xr:uid="{00000000-0005-0000-0000-000033070000}"/>
    <cellStyle name="千分位 8 2 4 2" xfId="1844" xr:uid="{00000000-0005-0000-0000-000034070000}"/>
    <cellStyle name="千分位 8 2 4 2 2" xfId="1845" xr:uid="{00000000-0005-0000-0000-000035070000}"/>
    <cellStyle name="千分位 8 2 4 3" xfId="1846" xr:uid="{00000000-0005-0000-0000-000036070000}"/>
    <cellStyle name="千分位 8 2 5" xfId="1847" xr:uid="{00000000-0005-0000-0000-000037070000}"/>
    <cellStyle name="千分位 8 2 5 2" xfId="1848" xr:uid="{00000000-0005-0000-0000-000038070000}"/>
    <cellStyle name="千分位 8 2 6" xfId="1849" xr:uid="{00000000-0005-0000-0000-000039070000}"/>
    <cellStyle name="千分位 8 3" xfId="1850" xr:uid="{00000000-0005-0000-0000-00003A070000}"/>
    <cellStyle name="千分位 8 3 2" xfId="1851" xr:uid="{00000000-0005-0000-0000-00003B070000}"/>
    <cellStyle name="千分位 8 3 2 2" xfId="1852" xr:uid="{00000000-0005-0000-0000-00003C070000}"/>
    <cellStyle name="千分位 8 3 2 2 2" xfId="1853" xr:uid="{00000000-0005-0000-0000-00003D070000}"/>
    <cellStyle name="千分位 8 3 2 2 2 2" xfId="1854" xr:uid="{00000000-0005-0000-0000-00003E070000}"/>
    <cellStyle name="千分位 8 3 2 2 3" xfId="1855" xr:uid="{00000000-0005-0000-0000-00003F070000}"/>
    <cellStyle name="千分位 8 3 2 3" xfId="1856" xr:uid="{00000000-0005-0000-0000-000040070000}"/>
    <cellStyle name="千分位 8 3 2 3 2" xfId="1857" xr:uid="{00000000-0005-0000-0000-000041070000}"/>
    <cellStyle name="千分位 8 3 2 4" xfId="1858" xr:uid="{00000000-0005-0000-0000-000042070000}"/>
    <cellStyle name="千分位 8 3 3" xfId="1859" xr:uid="{00000000-0005-0000-0000-000043070000}"/>
    <cellStyle name="千分位 8 3 3 2" xfId="1860" xr:uid="{00000000-0005-0000-0000-000044070000}"/>
    <cellStyle name="千分位 8 3 3 2 2" xfId="1861" xr:uid="{00000000-0005-0000-0000-000045070000}"/>
    <cellStyle name="千分位 8 3 3 2 2 2" xfId="1862" xr:uid="{00000000-0005-0000-0000-000046070000}"/>
    <cellStyle name="千分位 8 3 3 2 3" xfId="1863" xr:uid="{00000000-0005-0000-0000-000047070000}"/>
    <cellStyle name="千分位 8 3 3 3" xfId="1864" xr:uid="{00000000-0005-0000-0000-000048070000}"/>
    <cellStyle name="千分位 8 3 3 3 2" xfId="1865" xr:uid="{00000000-0005-0000-0000-000049070000}"/>
    <cellStyle name="千分位 8 3 3 4" xfId="1866" xr:uid="{00000000-0005-0000-0000-00004A070000}"/>
    <cellStyle name="千分位 8 3 4" xfId="1867" xr:uid="{00000000-0005-0000-0000-00004B070000}"/>
    <cellStyle name="千分位 8 3 4 2" xfId="1868" xr:uid="{00000000-0005-0000-0000-00004C070000}"/>
    <cellStyle name="千分位 8 3 4 2 2" xfId="1869" xr:uid="{00000000-0005-0000-0000-00004D070000}"/>
    <cellStyle name="千分位 8 3 4 3" xfId="1870" xr:uid="{00000000-0005-0000-0000-00004E070000}"/>
    <cellStyle name="千分位 8 3 5" xfId="1871" xr:uid="{00000000-0005-0000-0000-00004F070000}"/>
    <cellStyle name="千分位 8 3 5 2" xfId="1872" xr:uid="{00000000-0005-0000-0000-000050070000}"/>
    <cellStyle name="千分位 8 3 6" xfId="1873" xr:uid="{00000000-0005-0000-0000-000051070000}"/>
    <cellStyle name="千分位 8 4" xfId="1874" xr:uid="{00000000-0005-0000-0000-000052070000}"/>
    <cellStyle name="千分位 8 4 2" xfId="1875" xr:uid="{00000000-0005-0000-0000-000053070000}"/>
    <cellStyle name="千分位 8 4 2 2" xfId="1876" xr:uid="{00000000-0005-0000-0000-000054070000}"/>
    <cellStyle name="千分位 8 4 2 2 2" xfId="1877" xr:uid="{00000000-0005-0000-0000-000055070000}"/>
    <cellStyle name="千分位 8 4 2 3" xfId="1878" xr:uid="{00000000-0005-0000-0000-000056070000}"/>
    <cellStyle name="千分位 8 4 3" xfId="1879" xr:uid="{00000000-0005-0000-0000-000057070000}"/>
    <cellStyle name="千分位 8 4 3 2" xfId="1880" xr:uid="{00000000-0005-0000-0000-000058070000}"/>
    <cellStyle name="千分位 8 4 4" xfId="1881" xr:uid="{00000000-0005-0000-0000-000059070000}"/>
    <cellStyle name="千分位 8 5" xfId="1882" xr:uid="{00000000-0005-0000-0000-00005A070000}"/>
    <cellStyle name="千分位 8 5 2" xfId="1883" xr:uid="{00000000-0005-0000-0000-00005B070000}"/>
    <cellStyle name="千分位 8 5 2 2" xfId="1884" xr:uid="{00000000-0005-0000-0000-00005C070000}"/>
    <cellStyle name="千分位 8 5 2 2 2" xfId="1885" xr:uid="{00000000-0005-0000-0000-00005D070000}"/>
    <cellStyle name="千分位 8 5 2 3" xfId="1886" xr:uid="{00000000-0005-0000-0000-00005E070000}"/>
    <cellStyle name="千分位 8 5 3" xfId="1887" xr:uid="{00000000-0005-0000-0000-00005F070000}"/>
    <cellStyle name="千分位 8 5 3 2" xfId="1888" xr:uid="{00000000-0005-0000-0000-000060070000}"/>
    <cellStyle name="千分位 8 5 4" xfId="1889" xr:uid="{00000000-0005-0000-0000-000061070000}"/>
    <cellStyle name="千分位 8 6" xfId="1890" xr:uid="{00000000-0005-0000-0000-000062070000}"/>
    <cellStyle name="千分位 8 6 2" xfId="1891" xr:uid="{00000000-0005-0000-0000-000063070000}"/>
    <cellStyle name="千分位 8 6 2 2" xfId="1892" xr:uid="{00000000-0005-0000-0000-000064070000}"/>
    <cellStyle name="千分位 8 6 3" xfId="1893" xr:uid="{00000000-0005-0000-0000-000065070000}"/>
    <cellStyle name="千分位 8 7" xfId="1894" xr:uid="{00000000-0005-0000-0000-000066070000}"/>
    <cellStyle name="千分位 8 7 2" xfId="1895" xr:uid="{00000000-0005-0000-0000-000067070000}"/>
    <cellStyle name="千分位 8 8" xfId="1896" xr:uid="{00000000-0005-0000-0000-000068070000}"/>
    <cellStyle name="千分位 9" xfId="1897" xr:uid="{00000000-0005-0000-0000-000069070000}"/>
    <cellStyle name="千分位 9 2" xfId="1898" xr:uid="{00000000-0005-0000-0000-00006A070000}"/>
    <cellStyle name="千分位 9 2 2" xfId="1899" xr:uid="{00000000-0005-0000-0000-00006B070000}"/>
    <cellStyle name="千分位 9 2 2 2" xfId="1900" xr:uid="{00000000-0005-0000-0000-00006C070000}"/>
    <cellStyle name="千分位 9 2 2 2 2" xfId="1901" xr:uid="{00000000-0005-0000-0000-00006D070000}"/>
    <cellStyle name="千分位 9 2 2 2 2 2" xfId="1902" xr:uid="{00000000-0005-0000-0000-00006E070000}"/>
    <cellStyle name="千分位 9 2 2 2 3" xfId="1903" xr:uid="{00000000-0005-0000-0000-00006F070000}"/>
    <cellStyle name="千分位 9 2 2 3" xfId="1904" xr:uid="{00000000-0005-0000-0000-000070070000}"/>
    <cellStyle name="千分位 9 2 2 3 2" xfId="1905" xr:uid="{00000000-0005-0000-0000-000071070000}"/>
    <cellStyle name="千分位 9 2 2 4" xfId="1906" xr:uid="{00000000-0005-0000-0000-000072070000}"/>
    <cellStyle name="千分位 9 2 3" xfId="1907" xr:uid="{00000000-0005-0000-0000-000073070000}"/>
    <cellStyle name="千分位 9 2 3 2" xfId="1908" xr:uid="{00000000-0005-0000-0000-000074070000}"/>
    <cellStyle name="千分位 9 2 3 2 2" xfId="1909" xr:uid="{00000000-0005-0000-0000-000075070000}"/>
    <cellStyle name="千分位 9 2 3 2 2 2" xfId="1910" xr:uid="{00000000-0005-0000-0000-000076070000}"/>
    <cellStyle name="千分位 9 2 3 2 3" xfId="1911" xr:uid="{00000000-0005-0000-0000-000077070000}"/>
    <cellStyle name="千分位 9 2 3 3" xfId="1912" xr:uid="{00000000-0005-0000-0000-000078070000}"/>
    <cellStyle name="千分位 9 2 3 3 2" xfId="1913" xr:uid="{00000000-0005-0000-0000-000079070000}"/>
    <cellStyle name="千分位 9 2 3 4" xfId="1914" xr:uid="{00000000-0005-0000-0000-00007A070000}"/>
    <cellStyle name="千分位 9 2 4" xfId="1915" xr:uid="{00000000-0005-0000-0000-00007B070000}"/>
    <cellStyle name="千分位 9 2 4 2" xfId="1916" xr:uid="{00000000-0005-0000-0000-00007C070000}"/>
    <cellStyle name="千分位 9 2 4 2 2" xfId="1917" xr:uid="{00000000-0005-0000-0000-00007D070000}"/>
    <cellStyle name="千分位 9 2 4 3" xfId="1918" xr:uid="{00000000-0005-0000-0000-00007E070000}"/>
    <cellStyle name="千分位 9 2 5" xfId="1919" xr:uid="{00000000-0005-0000-0000-00007F070000}"/>
    <cellStyle name="千分位 9 2 5 2" xfId="1920" xr:uid="{00000000-0005-0000-0000-000080070000}"/>
    <cellStyle name="千分位 9 2 6" xfId="1921" xr:uid="{00000000-0005-0000-0000-000081070000}"/>
    <cellStyle name="千分位 9 3" xfId="1922" xr:uid="{00000000-0005-0000-0000-000082070000}"/>
    <cellStyle name="千分位 9 3 2" xfId="1923" xr:uid="{00000000-0005-0000-0000-000083070000}"/>
    <cellStyle name="千分位 9 3 2 2" xfId="1924" xr:uid="{00000000-0005-0000-0000-000084070000}"/>
    <cellStyle name="千分位 9 3 2 2 2" xfId="1925" xr:uid="{00000000-0005-0000-0000-000085070000}"/>
    <cellStyle name="千分位 9 3 2 2 2 2" xfId="1926" xr:uid="{00000000-0005-0000-0000-000086070000}"/>
    <cellStyle name="千分位 9 3 2 2 3" xfId="1927" xr:uid="{00000000-0005-0000-0000-000087070000}"/>
    <cellStyle name="千分位 9 3 2 3" xfId="1928" xr:uid="{00000000-0005-0000-0000-000088070000}"/>
    <cellStyle name="千分位 9 3 2 3 2" xfId="1929" xr:uid="{00000000-0005-0000-0000-000089070000}"/>
    <cellStyle name="千分位 9 3 2 4" xfId="1930" xr:uid="{00000000-0005-0000-0000-00008A070000}"/>
    <cellStyle name="千分位 9 3 3" xfId="1931" xr:uid="{00000000-0005-0000-0000-00008B070000}"/>
    <cellStyle name="千分位 9 3 3 2" xfId="1932" xr:uid="{00000000-0005-0000-0000-00008C070000}"/>
    <cellStyle name="千分位 9 3 3 2 2" xfId="1933" xr:uid="{00000000-0005-0000-0000-00008D070000}"/>
    <cellStyle name="千分位 9 3 3 2 2 2" xfId="1934" xr:uid="{00000000-0005-0000-0000-00008E070000}"/>
    <cellStyle name="千分位 9 3 3 2 3" xfId="1935" xr:uid="{00000000-0005-0000-0000-00008F070000}"/>
    <cellStyle name="千分位 9 3 3 3" xfId="1936" xr:uid="{00000000-0005-0000-0000-000090070000}"/>
    <cellStyle name="千分位 9 3 3 3 2" xfId="1937" xr:uid="{00000000-0005-0000-0000-000091070000}"/>
    <cellStyle name="千分位 9 3 3 4" xfId="1938" xr:uid="{00000000-0005-0000-0000-000092070000}"/>
    <cellStyle name="千分位 9 3 4" xfId="1939" xr:uid="{00000000-0005-0000-0000-000093070000}"/>
    <cellStyle name="千分位 9 3 4 2" xfId="1940" xr:uid="{00000000-0005-0000-0000-000094070000}"/>
    <cellStyle name="千分位 9 3 4 2 2" xfId="1941" xr:uid="{00000000-0005-0000-0000-000095070000}"/>
    <cellStyle name="千分位 9 3 4 3" xfId="1942" xr:uid="{00000000-0005-0000-0000-000096070000}"/>
    <cellStyle name="千分位 9 3 5" xfId="1943" xr:uid="{00000000-0005-0000-0000-000097070000}"/>
    <cellStyle name="千分位 9 3 5 2" xfId="1944" xr:uid="{00000000-0005-0000-0000-000098070000}"/>
    <cellStyle name="千分位 9 3 6" xfId="1945" xr:uid="{00000000-0005-0000-0000-000099070000}"/>
    <cellStyle name="千分位 9 4" xfId="1946" xr:uid="{00000000-0005-0000-0000-00009A070000}"/>
    <cellStyle name="千分位 9 4 2" xfId="1947" xr:uid="{00000000-0005-0000-0000-00009B070000}"/>
    <cellStyle name="千分位 9 4 2 2" xfId="1948" xr:uid="{00000000-0005-0000-0000-00009C070000}"/>
    <cellStyle name="千分位 9 4 2 2 2" xfId="1949" xr:uid="{00000000-0005-0000-0000-00009D070000}"/>
    <cellStyle name="千分位 9 4 2 3" xfId="1950" xr:uid="{00000000-0005-0000-0000-00009E070000}"/>
    <cellStyle name="千分位 9 4 3" xfId="1951" xr:uid="{00000000-0005-0000-0000-00009F070000}"/>
    <cellStyle name="千分位 9 4 3 2" xfId="1952" xr:uid="{00000000-0005-0000-0000-0000A0070000}"/>
    <cellStyle name="千分位 9 4 4" xfId="1953" xr:uid="{00000000-0005-0000-0000-0000A1070000}"/>
    <cellStyle name="千分位 9 5" xfId="1954" xr:uid="{00000000-0005-0000-0000-0000A2070000}"/>
    <cellStyle name="千分位 9 5 2" xfId="1955" xr:uid="{00000000-0005-0000-0000-0000A3070000}"/>
    <cellStyle name="千分位 9 5 2 2" xfId="1956" xr:uid="{00000000-0005-0000-0000-0000A4070000}"/>
    <cellStyle name="千分位 9 5 2 2 2" xfId="1957" xr:uid="{00000000-0005-0000-0000-0000A5070000}"/>
    <cellStyle name="千分位 9 5 2 3" xfId="1958" xr:uid="{00000000-0005-0000-0000-0000A6070000}"/>
    <cellStyle name="千分位 9 5 3" xfId="1959" xr:uid="{00000000-0005-0000-0000-0000A7070000}"/>
    <cellStyle name="千分位 9 5 3 2" xfId="1960" xr:uid="{00000000-0005-0000-0000-0000A8070000}"/>
    <cellStyle name="千分位 9 5 4" xfId="1961" xr:uid="{00000000-0005-0000-0000-0000A9070000}"/>
    <cellStyle name="千分位 9 6" xfId="1962" xr:uid="{00000000-0005-0000-0000-0000AA070000}"/>
    <cellStyle name="千分位 9 6 2" xfId="1963" xr:uid="{00000000-0005-0000-0000-0000AB070000}"/>
    <cellStyle name="千分位 9 6 2 2" xfId="1964" xr:uid="{00000000-0005-0000-0000-0000AC070000}"/>
    <cellStyle name="千分位 9 6 3" xfId="1965" xr:uid="{00000000-0005-0000-0000-0000AD070000}"/>
    <cellStyle name="千分位 9 7" xfId="1966" xr:uid="{00000000-0005-0000-0000-0000AE070000}"/>
    <cellStyle name="千分位 9 7 2" xfId="1967" xr:uid="{00000000-0005-0000-0000-0000AF070000}"/>
    <cellStyle name="千分位 9 8" xfId="1968" xr:uid="{00000000-0005-0000-0000-0000B0070000}"/>
    <cellStyle name="中等" xfId="1969" builtinId="28" customBuiltin="1"/>
    <cellStyle name="合計" xfId="1970" builtinId="25" customBuiltin="1"/>
    <cellStyle name="好" xfId="1971" builtinId="26" customBuiltin="1"/>
    <cellStyle name="百分比" xfId="1972" builtinId="5"/>
    <cellStyle name="計算方式" xfId="1973" builtinId="22" customBuiltin="1"/>
    <cellStyle name="連結的儲存格" xfId="1974" builtinId="24" customBuiltin="1"/>
    <cellStyle name="備註" xfId="1975" builtinId="10" customBuiltin="1"/>
    <cellStyle name="超連結 2" xfId="1976" xr:uid="{00000000-0005-0000-0000-0000B8070000}"/>
    <cellStyle name="超連結 2 2" xfId="1977" xr:uid="{00000000-0005-0000-0000-0000B9070000}"/>
    <cellStyle name="說明文字" xfId="1978" builtinId="53" customBuiltin="1"/>
    <cellStyle name="輔色1" xfId="1979" builtinId="29" customBuiltin="1"/>
    <cellStyle name="輔色2" xfId="1980" builtinId="33" customBuiltin="1"/>
    <cellStyle name="輔色3" xfId="1981" builtinId="37" customBuiltin="1"/>
    <cellStyle name="輔色4" xfId="1982" builtinId="41" customBuiltin="1"/>
    <cellStyle name="輔色5" xfId="1983" builtinId="45" customBuiltin="1"/>
    <cellStyle name="輔色6" xfId="1984" builtinId="49" customBuiltin="1"/>
    <cellStyle name="標題" xfId="1985" builtinId="15" customBuiltin="1"/>
    <cellStyle name="標題 1" xfId="1986" builtinId="16" customBuiltin="1"/>
    <cellStyle name="標題 2" xfId="1987" builtinId="17" customBuiltin="1"/>
    <cellStyle name="標題 3" xfId="1988" builtinId="18" customBuiltin="1"/>
    <cellStyle name="標題 4" xfId="1989" builtinId="19" customBuiltin="1"/>
    <cellStyle name="樣式 1" xfId="1990" xr:uid="{00000000-0005-0000-0000-0000C6070000}"/>
    <cellStyle name="輸入" xfId="1991" builtinId="20" customBuiltin="1"/>
    <cellStyle name="輸出" xfId="1992" builtinId="21" customBuiltin="1"/>
    <cellStyle name="檢查儲存格" xfId="1993" builtinId="23" customBuiltin="1"/>
    <cellStyle name="壞" xfId="1994" builtinId="27" customBuiltin="1"/>
    <cellStyle name="警告文字" xfId="199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42C9-EEAF-4009-AB5D-57F480DE067C}">
  <sheetPr>
    <tabColor rgb="FFFFFF00"/>
    <pageSetUpPr fitToPage="1"/>
  </sheetPr>
  <dimension ref="A1:U23"/>
  <sheetViews>
    <sheetView tabSelected="1" view="pageBreakPreview" zoomScale="70" zoomScaleNormal="75" zoomScaleSheetLayoutView="70" workbookViewId="0">
      <pane ySplit="6" topLeftCell="A7" activePane="bottomLeft" state="frozen"/>
      <selection activeCell="I13" sqref="I13"/>
      <selection pane="bottomLeft" activeCell="I10" sqref="I10"/>
    </sheetView>
  </sheetViews>
  <sheetFormatPr defaultColWidth="9" defaultRowHeight="18.75" x14ac:dyDescent="0.25"/>
  <cols>
    <col min="1" max="1" width="10" style="4" customWidth="1"/>
    <col min="2" max="3" width="6.5" style="4" customWidth="1"/>
    <col min="4" max="4" width="7.375" style="4" customWidth="1"/>
    <col min="5" max="5" width="41.75" style="5" customWidth="1"/>
    <col min="6" max="6" width="13.125" style="6" customWidth="1"/>
    <col min="7" max="8" width="11.5" style="6" customWidth="1"/>
    <col min="9" max="9" width="64.375" style="6" customWidth="1"/>
    <col min="10" max="10" width="20.625" style="6" customWidth="1"/>
    <col min="11" max="11" width="7.75" style="3" customWidth="1"/>
    <col min="12" max="14" width="8" style="3" customWidth="1"/>
    <col min="15" max="15" width="12.125" style="3" customWidth="1"/>
    <col min="16" max="20" width="8" style="3" customWidth="1"/>
    <col min="21" max="21" width="8" style="16" customWidth="1"/>
    <col min="22" max="16384" width="9" style="3"/>
  </cols>
  <sheetData>
    <row r="1" spans="1:21" ht="32.1" customHeight="1" x14ac:dyDescent="0.25">
      <c r="A1" s="117" t="s">
        <v>427</v>
      </c>
      <c r="B1" s="117"/>
      <c r="C1" s="117"/>
      <c r="D1" s="117"/>
      <c r="E1" s="117"/>
      <c r="F1" s="117"/>
      <c r="G1" s="117"/>
      <c r="H1" s="117"/>
      <c r="I1" s="117"/>
      <c r="J1" s="117"/>
      <c r="K1" s="117"/>
      <c r="L1" s="117"/>
      <c r="M1" s="117"/>
      <c r="N1" s="117"/>
      <c r="O1" s="117"/>
      <c r="P1" s="117"/>
      <c r="Q1" s="117"/>
      <c r="R1" s="117"/>
      <c r="S1" s="117"/>
      <c r="T1" s="117"/>
      <c r="U1" s="117"/>
    </row>
    <row r="2" spans="1:21" ht="21.75" customHeight="1" x14ac:dyDescent="0.25">
      <c r="A2" s="8"/>
      <c r="B2" s="8"/>
      <c r="C2" s="8"/>
      <c r="D2" s="8"/>
      <c r="E2" s="9"/>
      <c r="F2" s="10"/>
      <c r="S2" s="118" t="s">
        <v>0</v>
      </c>
      <c r="T2" s="118"/>
      <c r="U2" s="118"/>
    </row>
    <row r="3" spans="1:21" ht="31.7" customHeight="1" x14ac:dyDescent="0.25">
      <c r="A3" s="107" t="s">
        <v>83</v>
      </c>
      <c r="B3" s="106" t="s">
        <v>59</v>
      </c>
      <c r="C3" s="107" t="s">
        <v>60</v>
      </c>
      <c r="D3" s="106" t="s">
        <v>61</v>
      </c>
      <c r="E3" s="106" t="s">
        <v>428</v>
      </c>
      <c r="F3" s="111" t="s">
        <v>62</v>
      </c>
      <c r="G3" s="120"/>
      <c r="H3" s="112"/>
      <c r="I3" s="121" t="s">
        <v>63</v>
      </c>
      <c r="J3" s="124" t="s">
        <v>64</v>
      </c>
      <c r="K3" s="103" t="s">
        <v>84</v>
      </c>
      <c r="L3" s="104"/>
      <c r="M3" s="104"/>
      <c r="N3" s="104"/>
      <c r="O3" s="104"/>
      <c r="P3" s="104"/>
      <c r="Q3" s="104"/>
      <c r="R3" s="104"/>
      <c r="S3" s="105"/>
      <c r="T3" s="106" t="s">
        <v>85</v>
      </c>
      <c r="U3" s="106" t="s">
        <v>65</v>
      </c>
    </row>
    <row r="4" spans="1:21" ht="32.25" customHeight="1" x14ac:dyDescent="0.25">
      <c r="A4" s="119"/>
      <c r="B4" s="106"/>
      <c r="C4" s="119"/>
      <c r="D4" s="106"/>
      <c r="E4" s="106"/>
      <c r="F4" s="108" t="s">
        <v>86</v>
      </c>
      <c r="G4" s="111" t="s">
        <v>66</v>
      </c>
      <c r="H4" s="112"/>
      <c r="I4" s="122"/>
      <c r="J4" s="125"/>
      <c r="K4" s="103" t="s">
        <v>67</v>
      </c>
      <c r="L4" s="104"/>
      <c r="M4" s="104"/>
      <c r="N4" s="105"/>
      <c r="O4" s="104" t="s">
        <v>68</v>
      </c>
      <c r="P4" s="104"/>
      <c r="Q4" s="104"/>
      <c r="R4" s="104"/>
      <c r="S4" s="105"/>
      <c r="T4" s="106"/>
      <c r="U4" s="106"/>
    </row>
    <row r="5" spans="1:21" ht="27" customHeight="1" x14ac:dyDescent="0.25">
      <c r="A5" s="119"/>
      <c r="B5" s="106"/>
      <c r="C5" s="119"/>
      <c r="D5" s="107"/>
      <c r="E5" s="107"/>
      <c r="F5" s="109"/>
      <c r="G5" s="113" t="s">
        <v>69</v>
      </c>
      <c r="H5" s="113" t="s">
        <v>70</v>
      </c>
      <c r="I5" s="122"/>
      <c r="J5" s="125"/>
      <c r="K5" s="107" t="s">
        <v>71</v>
      </c>
      <c r="L5" s="107" t="s">
        <v>87</v>
      </c>
      <c r="M5" s="107" t="s">
        <v>72</v>
      </c>
      <c r="N5" s="107" t="s">
        <v>73</v>
      </c>
      <c r="O5" s="115" t="s">
        <v>74</v>
      </c>
      <c r="P5" s="106" t="s">
        <v>75</v>
      </c>
      <c r="Q5" s="106"/>
      <c r="R5" s="106"/>
      <c r="S5" s="106"/>
      <c r="T5" s="107"/>
      <c r="U5" s="107"/>
    </row>
    <row r="6" spans="1:21" s="7" customFormat="1" ht="62.45" customHeight="1" x14ac:dyDescent="0.25">
      <c r="A6" s="114"/>
      <c r="B6" s="106"/>
      <c r="C6" s="114"/>
      <c r="D6" s="107"/>
      <c r="E6" s="107"/>
      <c r="F6" s="110"/>
      <c r="G6" s="113"/>
      <c r="H6" s="113"/>
      <c r="I6" s="123"/>
      <c r="J6" s="126"/>
      <c r="K6" s="114"/>
      <c r="L6" s="114"/>
      <c r="M6" s="114"/>
      <c r="N6" s="114"/>
      <c r="O6" s="116"/>
      <c r="P6" s="60" t="s">
        <v>88</v>
      </c>
      <c r="Q6" s="60" t="s">
        <v>76</v>
      </c>
      <c r="R6" s="60" t="s">
        <v>77</v>
      </c>
      <c r="S6" s="60" t="s">
        <v>78</v>
      </c>
      <c r="T6" s="107"/>
      <c r="U6" s="107"/>
    </row>
    <row r="7" spans="1:21" s="7" customFormat="1" ht="24.95" customHeight="1" x14ac:dyDescent="0.25">
      <c r="A7" s="99" t="s">
        <v>1</v>
      </c>
      <c r="B7" s="99"/>
      <c r="C7" s="99"/>
      <c r="D7" s="99"/>
      <c r="E7" s="99"/>
      <c r="F7" s="100" t="s">
        <v>80</v>
      </c>
      <c r="G7" s="101"/>
      <c r="H7" s="102"/>
      <c r="I7" s="26"/>
      <c r="J7" s="38"/>
      <c r="K7" s="31">
        <f>COUNTIF(K10:K15,"v")</f>
        <v>0</v>
      </c>
      <c r="L7" s="31">
        <f>COUNTIF(L10:L15,"v")</f>
        <v>0</v>
      </c>
      <c r="M7" s="31">
        <f>COUNTIF(M10:M15,"v")</f>
        <v>0</v>
      </c>
      <c r="N7" s="31">
        <f>COUNTIF(N10:N15,"v")</f>
        <v>0</v>
      </c>
      <c r="O7" s="31">
        <f>COUNTIF(O10:O15,"v")</f>
        <v>0</v>
      </c>
      <c r="P7" s="31">
        <f>COUNTIF(P10:P18,"v")</f>
        <v>0</v>
      </c>
      <c r="Q7" s="31">
        <f>COUNTIF(Q10:Q15,"v")</f>
        <v>0</v>
      </c>
      <c r="R7" s="31">
        <f>COUNTIF(R10:R15,"v")</f>
        <v>0</v>
      </c>
      <c r="S7" s="31">
        <f>COUNTIF(S10:S15,"v")</f>
        <v>0</v>
      </c>
      <c r="T7" s="1"/>
      <c r="U7" s="2"/>
    </row>
    <row r="8" spans="1:21" s="23" customFormat="1" ht="24.95" customHeight="1" x14ac:dyDescent="0.25">
      <c r="A8" s="88" t="s">
        <v>79</v>
      </c>
      <c r="B8" s="89"/>
      <c r="C8" s="89"/>
      <c r="D8" s="89"/>
      <c r="E8" s="20"/>
      <c r="F8" s="90" t="s">
        <v>80</v>
      </c>
      <c r="G8" s="91"/>
      <c r="H8" s="92"/>
      <c r="I8" s="21"/>
      <c r="J8" s="28"/>
      <c r="K8" s="11"/>
      <c r="L8" s="11"/>
      <c r="M8" s="11"/>
      <c r="N8" s="11"/>
      <c r="O8" s="11"/>
      <c r="P8" s="11"/>
      <c r="Q8" s="11"/>
      <c r="R8" s="11"/>
      <c r="S8" s="11"/>
      <c r="T8" s="12"/>
      <c r="U8" s="19"/>
    </row>
    <row r="9" spans="1:21" s="24" customFormat="1" ht="24.95" customHeight="1" x14ac:dyDescent="0.25">
      <c r="A9" s="32" t="s">
        <v>81</v>
      </c>
      <c r="B9" s="33"/>
      <c r="C9" s="33"/>
      <c r="D9" s="36"/>
      <c r="E9" s="22"/>
      <c r="F9" s="90" t="s">
        <v>80</v>
      </c>
      <c r="G9" s="91"/>
      <c r="H9" s="92"/>
      <c r="I9" s="27"/>
      <c r="J9" s="29"/>
      <c r="K9" s="18">
        <f>COUNTIF(K10:K15,"v")</f>
        <v>0</v>
      </c>
      <c r="L9" s="18">
        <f>COUNTIF(L10:L15,"v")</f>
        <v>0</v>
      </c>
      <c r="M9" s="18">
        <f>COUNTIF(M10:M15,"v")</f>
        <v>0</v>
      </c>
      <c r="N9" s="18">
        <f>COUNTIF(N10:N15,"v")</f>
        <v>0</v>
      </c>
      <c r="O9" s="18">
        <f>COUNTIF(O10:O15,"v")</f>
        <v>0</v>
      </c>
      <c r="P9" s="18">
        <f ca="1">COUNTIF(P9:P9,"v")</f>
        <v>0</v>
      </c>
      <c r="Q9" s="18">
        <f>COUNTIF(Q10:Q15,"v")</f>
        <v>0</v>
      </c>
      <c r="R9" s="18">
        <f>COUNTIF(R10:R15,"v")</f>
        <v>0</v>
      </c>
      <c r="S9" s="18">
        <f>COUNTIF(S10:S15,"v")</f>
        <v>0</v>
      </c>
      <c r="T9" s="25"/>
      <c r="U9" s="18">
        <f>COUNTIF(U10:U15,"v")</f>
        <v>0</v>
      </c>
    </row>
    <row r="10" spans="1:21" s="23" customFormat="1" ht="150" customHeight="1" x14ac:dyDescent="0.25">
      <c r="A10" s="93" t="s">
        <v>89</v>
      </c>
      <c r="B10" s="94"/>
      <c r="C10" s="94"/>
      <c r="D10" s="95"/>
      <c r="E10" s="62"/>
      <c r="F10" s="63"/>
      <c r="G10" s="64"/>
      <c r="H10" s="64"/>
      <c r="I10" s="65" t="s">
        <v>429</v>
      </c>
      <c r="J10" s="66"/>
      <c r="K10" s="67"/>
      <c r="L10" s="68"/>
      <c r="M10" s="68"/>
      <c r="N10" s="68"/>
      <c r="O10" s="69"/>
      <c r="P10" s="69"/>
      <c r="Q10" s="69"/>
      <c r="R10" s="69"/>
      <c r="S10" s="68"/>
      <c r="T10" s="70"/>
      <c r="U10" s="71"/>
    </row>
    <row r="11" spans="1:21" s="24" customFormat="1" ht="168" customHeight="1" x14ac:dyDescent="0.25">
      <c r="A11" s="96" t="s">
        <v>91</v>
      </c>
      <c r="B11" s="97"/>
      <c r="C11" s="97"/>
      <c r="D11" s="98"/>
      <c r="E11" s="62"/>
      <c r="F11" s="63"/>
      <c r="G11" s="64"/>
      <c r="H11" s="64"/>
      <c r="I11" s="65" t="s">
        <v>430</v>
      </c>
      <c r="J11" s="66"/>
      <c r="K11" s="67"/>
      <c r="L11" s="68"/>
      <c r="M11" s="68"/>
      <c r="N11" s="68"/>
      <c r="O11" s="69"/>
      <c r="P11" s="69"/>
      <c r="Q11" s="69"/>
      <c r="R11" s="69"/>
      <c r="S11" s="68"/>
      <c r="T11" s="70"/>
      <c r="U11" s="71"/>
    </row>
    <row r="12" spans="1:21" s="24" customFormat="1" ht="186.75" customHeight="1" x14ac:dyDescent="0.25">
      <c r="A12" s="93" t="s">
        <v>129</v>
      </c>
      <c r="B12" s="94"/>
      <c r="C12" s="94"/>
      <c r="D12" s="95"/>
      <c r="E12" s="62" t="s">
        <v>130</v>
      </c>
      <c r="F12" s="63"/>
      <c r="G12" s="64"/>
      <c r="H12" s="64"/>
      <c r="I12" s="189" t="s">
        <v>431</v>
      </c>
      <c r="J12" s="66"/>
      <c r="K12" s="67"/>
      <c r="L12" s="68"/>
      <c r="M12" s="68"/>
      <c r="N12" s="68"/>
      <c r="O12" s="69"/>
      <c r="P12" s="69"/>
      <c r="Q12" s="69"/>
      <c r="R12" s="69"/>
      <c r="S12" s="68"/>
      <c r="T12" s="70"/>
      <c r="U12" s="71"/>
    </row>
    <row r="13" spans="1:21" s="7" customFormat="1" ht="30" customHeight="1" x14ac:dyDescent="0.25">
      <c r="A13" s="88" t="s">
        <v>79</v>
      </c>
      <c r="B13" s="89"/>
      <c r="C13" s="89"/>
      <c r="D13" s="89"/>
      <c r="E13" s="20"/>
      <c r="F13" s="90" t="s">
        <v>80</v>
      </c>
      <c r="G13" s="91"/>
      <c r="H13" s="92"/>
      <c r="I13" s="21"/>
      <c r="J13" s="28"/>
      <c r="K13" s="11"/>
      <c r="L13" s="11"/>
      <c r="M13" s="11"/>
      <c r="N13" s="11"/>
      <c r="O13" s="11"/>
      <c r="P13" s="11"/>
      <c r="Q13" s="11"/>
      <c r="R13" s="11"/>
      <c r="S13" s="11"/>
      <c r="T13" s="12"/>
      <c r="U13" s="19"/>
    </row>
    <row r="14" spans="1:21" s="23" customFormat="1" ht="30" customHeight="1" x14ac:dyDescent="0.25">
      <c r="A14" s="32" t="s">
        <v>81</v>
      </c>
      <c r="B14" s="33"/>
      <c r="C14" s="33"/>
      <c r="D14" s="36"/>
      <c r="E14" s="22"/>
      <c r="F14" s="90" t="s">
        <v>80</v>
      </c>
      <c r="G14" s="91"/>
      <c r="H14" s="92"/>
      <c r="I14" s="27"/>
      <c r="J14" s="29"/>
      <c r="K14" s="18">
        <f>COUNTIF(K15:K20,"v")</f>
        <v>0</v>
      </c>
      <c r="L14" s="18">
        <f>COUNTIF(L15:L20,"v")</f>
        <v>0</v>
      </c>
      <c r="M14" s="18">
        <f>COUNTIF(M15:M20,"v")</f>
        <v>0</v>
      </c>
      <c r="N14" s="18">
        <f>COUNTIF(N15:N20,"v")</f>
        <v>0</v>
      </c>
      <c r="O14" s="18">
        <f>COUNTIF(O15:O20,"v")</f>
        <v>0</v>
      </c>
      <c r="P14" s="18">
        <f>COUNTIF(P15:P15,"v")</f>
        <v>0</v>
      </c>
      <c r="Q14" s="18">
        <f>COUNTIF(Q15:Q20,"v")</f>
        <v>0</v>
      </c>
      <c r="R14" s="18">
        <f>COUNTIF(R15:R20,"v")</f>
        <v>0</v>
      </c>
      <c r="S14" s="18">
        <f>COUNTIF(S15:S20,"v")</f>
        <v>0</v>
      </c>
      <c r="T14" s="25"/>
      <c r="U14" s="18">
        <f>COUNTIF(U15:U20,"v")</f>
        <v>0</v>
      </c>
    </row>
    <row r="15" spans="1:21" s="24" customFormat="1" ht="150" customHeight="1" x14ac:dyDescent="0.25">
      <c r="A15" s="15"/>
      <c r="B15" s="15"/>
      <c r="C15" s="15"/>
      <c r="D15" s="15"/>
      <c r="E15" s="49"/>
      <c r="F15" s="34"/>
      <c r="G15" s="14"/>
      <c r="H15" s="35"/>
      <c r="I15" s="37"/>
      <c r="J15" s="39"/>
      <c r="K15" s="45"/>
      <c r="L15" s="40"/>
      <c r="M15" s="44"/>
      <c r="N15" s="44"/>
      <c r="O15" s="40"/>
      <c r="P15" s="52"/>
      <c r="Q15" s="41"/>
      <c r="R15" s="41"/>
      <c r="S15" s="42"/>
      <c r="T15" s="43"/>
      <c r="U15" s="17"/>
    </row>
    <row r="16" spans="1:21" s="7" customFormat="1" ht="30" customHeight="1" x14ac:dyDescent="0.25">
      <c r="A16" s="88" t="s">
        <v>79</v>
      </c>
      <c r="B16" s="89"/>
      <c r="C16" s="89"/>
      <c r="D16" s="89"/>
      <c r="E16" s="20"/>
      <c r="F16" s="90" t="s">
        <v>80</v>
      </c>
      <c r="G16" s="91"/>
      <c r="H16" s="92"/>
      <c r="I16" s="21"/>
      <c r="J16" s="28"/>
      <c r="K16" s="11"/>
      <c r="L16" s="11"/>
      <c r="M16" s="11"/>
      <c r="N16" s="11"/>
      <c r="O16" s="11"/>
      <c r="P16" s="11"/>
      <c r="Q16" s="11"/>
      <c r="R16" s="11"/>
      <c r="S16" s="11"/>
      <c r="T16" s="12"/>
      <c r="U16" s="19"/>
    </row>
    <row r="17" spans="1:21" ht="30" customHeight="1" x14ac:dyDescent="0.25">
      <c r="A17" s="32" t="s">
        <v>81</v>
      </c>
      <c r="B17" s="33"/>
      <c r="C17" s="33"/>
      <c r="D17" s="36"/>
      <c r="E17" s="22"/>
      <c r="F17" s="90" t="s">
        <v>80</v>
      </c>
      <c r="G17" s="91"/>
      <c r="H17" s="92"/>
      <c r="I17" s="27"/>
      <c r="J17" s="29"/>
      <c r="K17" s="18">
        <f t="shared" ref="K17:S17" si="0">COUNTIF(K18:K24,"v")</f>
        <v>0</v>
      </c>
      <c r="L17" s="18">
        <f t="shared" si="0"/>
        <v>0</v>
      </c>
      <c r="M17" s="18">
        <f t="shared" si="0"/>
        <v>0</v>
      </c>
      <c r="N17" s="18">
        <f t="shared" si="0"/>
        <v>0</v>
      </c>
      <c r="O17" s="18">
        <f t="shared" si="0"/>
        <v>0</v>
      </c>
      <c r="P17" s="18">
        <f t="shared" si="0"/>
        <v>0</v>
      </c>
      <c r="Q17" s="18">
        <f t="shared" si="0"/>
        <v>0</v>
      </c>
      <c r="R17" s="18">
        <f t="shared" si="0"/>
        <v>0</v>
      </c>
      <c r="S17" s="18">
        <f t="shared" si="0"/>
        <v>0</v>
      </c>
      <c r="T17" s="25"/>
      <c r="U17" s="18">
        <f>COUNTIF(U18:U24,"v")</f>
        <v>0</v>
      </c>
    </row>
    <row r="18" spans="1:21" ht="150" customHeight="1" x14ac:dyDescent="0.25">
      <c r="A18" s="13"/>
      <c r="B18" s="61"/>
      <c r="C18" s="13"/>
      <c r="D18" s="15"/>
      <c r="E18" s="49"/>
      <c r="F18" s="34"/>
      <c r="G18" s="56"/>
      <c r="H18" s="57"/>
      <c r="I18" s="59"/>
      <c r="J18" s="39"/>
      <c r="K18" s="45"/>
      <c r="L18" s="40"/>
      <c r="M18" s="44"/>
      <c r="N18" s="44"/>
      <c r="O18" s="40"/>
      <c r="P18" s="41"/>
      <c r="Q18" s="41"/>
      <c r="R18" s="41"/>
      <c r="S18" s="42"/>
      <c r="T18" s="43"/>
      <c r="U18" s="17"/>
    </row>
    <row r="19" spans="1:21" x14ac:dyDescent="0.25">
      <c r="A19" s="86" t="s">
        <v>124</v>
      </c>
      <c r="B19" s="86"/>
      <c r="C19" s="86"/>
      <c r="D19" s="86"/>
      <c r="E19" s="86"/>
      <c r="F19" s="86"/>
      <c r="G19" s="86"/>
      <c r="H19" s="86"/>
      <c r="I19" s="86"/>
      <c r="J19" s="86"/>
      <c r="K19" s="86"/>
      <c r="L19" s="86"/>
      <c r="M19" s="86"/>
      <c r="N19" s="86"/>
      <c r="O19" s="86"/>
      <c r="P19" s="86"/>
      <c r="Q19" s="86"/>
      <c r="R19" s="86"/>
      <c r="S19" s="86"/>
      <c r="T19" s="86"/>
      <c r="U19" s="86"/>
    </row>
    <row r="20" spans="1:21" x14ac:dyDescent="0.25">
      <c r="A20" s="87" t="s">
        <v>125</v>
      </c>
      <c r="B20" s="87"/>
      <c r="C20" s="87"/>
      <c r="D20" s="87"/>
      <c r="E20" s="87"/>
      <c r="F20" s="87"/>
      <c r="G20" s="87"/>
      <c r="H20" s="87"/>
      <c r="I20" s="87"/>
      <c r="J20" s="87"/>
      <c r="K20" s="87"/>
      <c r="L20" s="87"/>
      <c r="M20" s="87"/>
      <c r="N20" s="87"/>
      <c r="O20" s="87"/>
      <c r="P20" s="87"/>
      <c r="Q20" s="87"/>
      <c r="R20" s="87"/>
      <c r="S20" s="87"/>
      <c r="T20" s="87"/>
      <c r="U20" s="87"/>
    </row>
    <row r="21" spans="1:21" x14ac:dyDescent="0.25">
      <c r="A21" s="87" t="s">
        <v>126</v>
      </c>
      <c r="B21" s="87"/>
      <c r="C21" s="87"/>
      <c r="D21" s="87"/>
      <c r="E21" s="87"/>
      <c r="F21" s="87"/>
      <c r="G21" s="87"/>
      <c r="H21" s="87"/>
      <c r="I21" s="87"/>
      <c r="J21" s="87"/>
      <c r="K21" s="87"/>
      <c r="L21" s="87"/>
      <c r="M21" s="87"/>
      <c r="N21" s="87"/>
      <c r="O21" s="87"/>
      <c r="P21" s="87"/>
      <c r="Q21" s="87"/>
      <c r="R21" s="87"/>
      <c r="S21" s="87"/>
      <c r="T21" s="87"/>
      <c r="U21" s="87"/>
    </row>
    <row r="22" spans="1:21" x14ac:dyDescent="0.25">
      <c r="A22" s="87" t="s">
        <v>127</v>
      </c>
      <c r="B22" s="87"/>
      <c r="C22" s="87"/>
      <c r="D22" s="87"/>
      <c r="E22" s="87"/>
      <c r="F22" s="87"/>
      <c r="G22" s="87"/>
      <c r="H22" s="87"/>
      <c r="I22" s="87"/>
      <c r="J22" s="87"/>
      <c r="K22" s="87"/>
      <c r="L22" s="87"/>
      <c r="M22" s="87"/>
      <c r="N22" s="87"/>
      <c r="O22" s="87"/>
      <c r="P22" s="87"/>
      <c r="Q22" s="87"/>
      <c r="R22" s="87"/>
      <c r="S22" s="87"/>
      <c r="T22" s="87"/>
      <c r="U22" s="87"/>
    </row>
    <row r="23" spans="1:21" x14ac:dyDescent="0.25">
      <c r="A23" s="87" t="s">
        <v>128</v>
      </c>
      <c r="B23" s="87"/>
      <c r="C23" s="87"/>
      <c r="D23" s="87"/>
      <c r="E23" s="87"/>
      <c r="F23" s="87"/>
      <c r="G23" s="87"/>
      <c r="H23" s="87"/>
      <c r="I23" s="87"/>
      <c r="J23" s="87"/>
      <c r="K23" s="87"/>
      <c r="L23" s="87"/>
      <c r="M23" s="87"/>
      <c r="N23" s="87"/>
      <c r="O23" s="87"/>
      <c r="P23" s="87"/>
      <c r="Q23" s="87"/>
      <c r="R23" s="87"/>
      <c r="S23" s="87"/>
      <c r="T23" s="87"/>
      <c r="U23" s="87"/>
    </row>
  </sheetData>
  <autoFilter ref="A6:U15" xr:uid="{00000000-0009-0000-0000-000000000000}"/>
  <mergeCells count="44">
    <mergeCell ref="A1:U1"/>
    <mergeCell ref="S2:U2"/>
    <mergeCell ref="A3:A6"/>
    <mergeCell ref="B3:B6"/>
    <mergeCell ref="C3:C6"/>
    <mergeCell ref="D3:D6"/>
    <mergeCell ref="E3:E6"/>
    <mergeCell ref="F3:H3"/>
    <mergeCell ref="I3:I6"/>
    <mergeCell ref="J3:J6"/>
    <mergeCell ref="P5:S5"/>
    <mergeCell ref="A7:E7"/>
    <mergeCell ref="F7:H7"/>
    <mergeCell ref="K3:S3"/>
    <mergeCell ref="T3:T6"/>
    <mergeCell ref="U3:U6"/>
    <mergeCell ref="F4:F6"/>
    <mergeCell ref="G4:H4"/>
    <mergeCell ref="K4:N4"/>
    <mergeCell ref="O4:S4"/>
    <mergeCell ref="G5:G6"/>
    <mergeCell ref="H5:H6"/>
    <mergeCell ref="K5:K6"/>
    <mergeCell ref="L5:L6"/>
    <mergeCell ref="M5:M6"/>
    <mergeCell ref="N5:N6"/>
    <mergeCell ref="O5:O6"/>
    <mergeCell ref="A16:D16"/>
    <mergeCell ref="F16:H16"/>
    <mergeCell ref="F17:H17"/>
    <mergeCell ref="A8:D8"/>
    <mergeCell ref="F8:H8"/>
    <mergeCell ref="F9:H9"/>
    <mergeCell ref="A13:D13"/>
    <mergeCell ref="F13:H13"/>
    <mergeCell ref="F14:H14"/>
    <mergeCell ref="A10:D10"/>
    <mergeCell ref="A11:D11"/>
    <mergeCell ref="A12:D12"/>
    <mergeCell ref="A19:U19"/>
    <mergeCell ref="A20:U20"/>
    <mergeCell ref="A21:U21"/>
    <mergeCell ref="A22:U22"/>
    <mergeCell ref="A23:U23"/>
  </mergeCells>
  <phoneticPr fontId="32" type="noConversion"/>
  <printOptions horizontalCentered="1"/>
  <pageMargins left="0.19685039370078741" right="0.19685039370078741" top="0.59055118110236227" bottom="0.59055118110236227" header="0.43307086614173229" footer="0.23622047244094491"/>
  <pageSetup paperSize="9" scale="50" fitToHeight="0" orientation="landscape" blackAndWhite="1" r:id="rId1"/>
  <headerFooter alignWithMargins="0">
    <oddFooter>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A463-92E4-4186-AB6B-4B864360AD69}">
  <sheetPr>
    <pageSetUpPr fitToPage="1"/>
  </sheetPr>
  <dimension ref="A1:V119"/>
  <sheetViews>
    <sheetView view="pageBreakPreview" zoomScale="65" zoomScaleNormal="65" zoomScaleSheetLayoutView="65" workbookViewId="0">
      <pane ySplit="6" topLeftCell="A37" activePane="bottomLeft" state="frozen"/>
      <selection activeCell="I13" sqref="I13"/>
      <selection pane="bottomLeft" activeCell="E39" sqref="E39"/>
    </sheetView>
  </sheetViews>
  <sheetFormatPr defaultColWidth="9" defaultRowHeight="18.75" x14ac:dyDescent="0.25"/>
  <cols>
    <col min="1" max="1" width="10" style="4" customWidth="1"/>
    <col min="2" max="3" width="6.5" style="4" customWidth="1"/>
    <col min="4" max="4" width="7.375" style="4" customWidth="1"/>
    <col min="5" max="5" width="41.75" style="5" customWidth="1"/>
    <col min="6" max="6" width="13.125" style="6" customWidth="1"/>
    <col min="7" max="8" width="11.5" style="6" customWidth="1"/>
    <col min="9" max="9" width="64.375" style="6" customWidth="1"/>
    <col min="10" max="10" width="20.625" style="6" customWidth="1"/>
    <col min="11" max="11" width="7.75" style="3" customWidth="1"/>
    <col min="12" max="14" width="8" style="3" customWidth="1"/>
    <col min="15" max="15" width="12.125" style="3" customWidth="1"/>
    <col min="16" max="20" width="8" style="3" customWidth="1"/>
    <col min="21" max="21" width="8" style="16" customWidth="1"/>
    <col min="22" max="16384" width="9" style="3"/>
  </cols>
  <sheetData>
    <row r="1" spans="1:22" ht="32.1" customHeight="1" x14ac:dyDescent="0.25">
      <c r="A1" s="117" t="s">
        <v>131</v>
      </c>
      <c r="B1" s="117"/>
      <c r="C1" s="117"/>
      <c r="D1" s="117"/>
      <c r="E1" s="117"/>
      <c r="F1" s="117"/>
      <c r="G1" s="117"/>
      <c r="H1" s="117"/>
      <c r="I1" s="117"/>
      <c r="J1" s="117"/>
      <c r="K1" s="117"/>
      <c r="L1" s="117"/>
      <c r="M1" s="117"/>
      <c r="N1" s="117"/>
      <c r="O1" s="117"/>
      <c r="P1" s="117"/>
      <c r="Q1" s="117"/>
      <c r="R1" s="117"/>
      <c r="S1" s="117"/>
      <c r="T1" s="117"/>
      <c r="U1" s="117"/>
    </row>
    <row r="2" spans="1:22" ht="21.75" customHeight="1" x14ac:dyDescent="0.25">
      <c r="A2" s="8"/>
      <c r="B2" s="8"/>
      <c r="C2" s="8"/>
      <c r="D2" s="8"/>
      <c r="E2" s="9"/>
      <c r="F2" s="10"/>
      <c r="S2" s="118" t="s">
        <v>0</v>
      </c>
      <c r="T2" s="118"/>
      <c r="U2" s="118"/>
    </row>
    <row r="3" spans="1:22" ht="31.7" customHeight="1" x14ac:dyDescent="0.25">
      <c r="A3" s="106" t="s">
        <v>83</v>
      </c>
      <c r="B3" s="106" t="s">
        <v>59</v>
      </c>
      <c r="C3" s="106" t="s">
        <v>60</v>
      </c>
      <c r="D3" s="106" t="s">
        <v>61</v>
      </c>
      <c r="E3" s="106" t="s">
        <v>132</v>
      </c>
      <c r="F3" s="111" t="s">
        <v>62</v>
      </c>
      <c r="G3" s="120"/>
      <c r="H3" s="112"/>
      <c r="I3" s="121" t="s">
        <v>63</v>
      </c>
      <c r="J3" s="124" t="s">
        <v>64</v>
      </c>
      <c r="K3" s="103" t="s">
        <v>84</v>
      </c>
      <c r="L3" s="104"/>
      <c r="M3" s="104"/>
      <c r="N3" s="104"/>
      <c r="O3" s="104"/>
      <c r="P3" s="104"/>
      <c r="Q3" s="104"/>
      <c r="R3" s="104"/>
      <c r="S3" s="105"/>
      <c r="T3" s="106" t="s">
        <v>85</v>
      </c>
      <c r="U3" s="106" t="s">
        <v>65</v>
      </c>
    </row>
    <row r="4" spans="1:22" ht="32.25" customHeight="1" x14ac:dyDescent="0.25">
      <c r="A4" s="106"/>
      <c r="B4" s="106"/>
      <c r="C4" s="106"/>
      <c r="D4" s="106"/>
      <c r="E4" s="106"/>
      <c r="F4" s="108" t="s">
        <v>86</v>
      </c>
      <c r="G4" s="111" t="s">
        <v>66</v>
      </c>
      <c r="H4" s="112"/>
      <c r="I4" s="122"/>
      <c r="J4" s="125"/>
      <c r="K4" s="103" t="s">
        <v>67</v>
      </c>
      <c r="L4" s="104"/>
      <c r="M4" s="104"/>
      <c r="N4" s="105"/>
      <c r="O4" s="104" t="s">
        <v>68</v>
      </c>
      <c r="P4" s="104"/>
      <c r="Q4" s="104"/>
      <c r="R4" s="104"/>
      <c r="S4" s="105"/>
      <c r="T4" s="106"/>
      <c r="U4" s="106"/>
    </row>
    <row r="5" spans="1:22" ht="27" customHeight="1" x14ac:dyDescent="0.25">
      <c r="A5" s="106"/>
      <c r="B5" s="106"/>
      <c r="C5" s="106"/>
      <c r="D5" s="106"/>
      <c r="E5" s="106"/>
      <c r="F5" s="109"/>
      <c r="G5" s="113" t="s">
        <v>69</v>
      </c>
      <c r="H5" s="113" t="s">
        <v>70</v>
      </c>
      <c r="I5" s="122"/>
      <c r="J5" s="125"/>
      <c r="K5" s="107" t="s">
        <v>71</v>
      </c>
      <c r="L5" s="107" t="s">
        <v>87</v>
      </c>
      <c r="M5" s="107" t="s">
        <v>72</v>
      </c>
      <c r="N5" s="107" t="s">
        <v>73</v>
      </c>
      <c r="O5" s="115" t="s">
        <v>74</v>
      </c>
      <c r="P5" s="106" t="s">
        <v>75</v>
      </c>
      <c r="Q5" s="106"/>
      <c r="R5" s="106"/>
      <c r="S5" s="106"/>
      <c r="T5" s="107"/>
      <c r="U5" s="107"/>
    </row>
    <row r="6" spans="1:22" s="7" customFormat="1" ht="62.45" customHeight="1" x14ac:dyDescent="0.25">
      <c r="A6" s="106"/>
      <c r="B6" s="106"/>
      <c r="C6" s="106"/>
      <c r="D6" s="106"/>
      <c r="E6" s="106"/>
      <c r="F6" s="110"/>
      <c r="G6" s="113"/>
      <c r="H6" s="113"/>
      <c r="I6" s="123"/>
      <c r="J6" s="126"/>
      <c r="K6" s="114"/>
      <c r="L6" s="114"/>
      <c r="M6" s="114"/>
      <c r="N6" s="114"/>
      <c r="O6" s="116"/>
      <c r="P6" s="72" t="s">
        <v>133</v>
      </c>
      <c r="Q6" s="72" t="s">
        <v>66</v>
      </c>
      <c r="R6" s="72" t="s">
        <v>134</v>
      </c>
      <c r="S6" s="72" t="s">
        <v>135</v>
      </c>
      <c r="T6" s="107"/>
      <c r="U6" s="107"/>
    </row>
    <row r="7" spans="1:22" s="7" customFormat="1" ht="19.5" x14ac:dyDescent="0.25">
      <c r="A7" s="99" t="s">
        <v>1</v>
      </c>
      <c r="B7" s="99"/>
      <c r="C7" s="99"/>
      <c r="D7" s="99"/>
      <c r="E7" s="99"/>
      <c r="F7" s="162" t="s">
        <v>136</v>
      </c>
      <c r="G7" s="101"/>
      <c r="H7" s="102"/>
      <c r="I7" s="26"/>
      <c r="J7" s="38"/>
      <c r="K7" s="31">
        <f>K8+K11</f>
        <v>0</v>
      </c>
      <c r="L7" s="31">
        <f t="shared" ref="L7:S7" si="0">L8+L11</f>
        <v>0</v>
      </c>
      <c r="M7" s="31">
        <f t="shared" si="0"/>
        <v>0</v>
      </c>
      <c r="N7" s="31">
        <f t="shared" si="0"/>
        <v>0</v>
      </c>
      <c r="O7" s="31">
        <f t="shared" si="0"/>
        <v>0</v>
      </c>
      <c r="P7" s="31">
        <f t="shared" si="0"/>
        <v>40</v>
      </c>
      <c r="Q7" s="31">
        <f t="shared" si="0"/>
        <v>36</v>
      </c>
      <c r="R7" s="31">
        <f t="shared" si="0"/>
        <v>18</v>
      </c>
      <c r="S7" s="31">
        <f t="shared" si="0"/>
        <v>8</v>
      </c>
      <c r="T7" s="1"/>
      <c r="U7" s="163"/>
    </row>
    <row r="8" spans="1:22" s="7" customFormat="1" ht="19.5" x14ac:dyDescent="0.25">
      <c r="A8" s="88" t="s">
        <v>137</v>
      </c>
      <c r="B8" s="89"/>
      <c r="C8" s="89"/>
      <c r="D8" s="89"/>
      <c r="E8" s="20"/>
      <c r="F8" s="90" t="s">
        <v>138</v>
      </c>
      <c r="G8" s="91"/>
      <c r="H8" s="92"/>
      <c r="I8" s="21"/>
      <c r="J8" s="18"/>
      <c r="K8" s="18">
        <f>K9</f>
        <v>0</v>
      </c>
      <c r="L8" s="18">
        <f t="shared" ref="L8:S8" si="1">L9</f>
        <v>0</v>
      </c>
      <c r="M8" s="18">
        <f t="shared" si="1"/>
        <v>0</v>
      </c>
      <c r="N8" s="18">
        <f t="shared" si="1"/>
        <v>0</v>
      </c>
      <c r="O8" s="18">
        <f t="shared" si="1"/>
        <v>0</v>
      </c>
      <c r="P8" s="18">
        <f t="shared" si="1"/>
        <v>0</v>
      </c>
      <c r="Q8" s="18">
        <f t="shared" si="1"/>
        <v>1</v>
      </c>
      <c r="R8" s="18">
        <f t="shared" si="1"/>
        <v>0</v>
      </c>
      <c r="S8" s="18">
        <f t="shared" si="1"/>
        <v>0</v>
      </c>
      <c r="T8" s="18"/>
      <c r="U8" s="18"/>
    </row>
    <row r="9" spans="1:22" s="7" customFormat="1" ht="19.5" x14ac:dyDescent="0.25">
      <c r="A9" s="32" t="s">
        <v>139</v>
      </c>
      <c r="B9" s="33"/>
      <c r="C9" s="33"/>
      <c r="D9" s="36"/>
      <c r="E9" s="22"/>
      <c r="F9" s="90" t="s">
        <v>138</v>
      </c>
      <c r="G9" s="91"/>
      <c r="H9" s="92"/>
      <c r="I9" s="27"/>
      <c r="J9" s="18"/>
      <c r="K9" s="18">
        <f>COUNTIF(K10:K10,"v")</f>
        <v>0</v>
      </c>
      <c r="L9" s="18">
        <f t="shared" ref="L9:S9" si="2">COUNTIF(L10:L10,"v")</f>
        <v>0</v>
      </c>
      <c r="M9" s="18">
        <f t="shared" si="2"/>
        <v>0</v>
      </c>
      <c r="N9" s="18">
        <f t="shared" si="2"/>
        <v>0</v>
      </c>
      <c r="O9" s="18">
        <f t="shared" si="2"/>
        <v>0</v>
      </c>
      <c r="P9" s="18">
        <f t="shared" si="2"/>
        <v>0</v>
      </c>
      <c r="Q9" s="18">
        <f t="shared" si="2"/>
        <v>1</v>
      </c>
      <c r="R9" s="18">
        <f t="shared" si="2"/>
        <v>0</v>
      </c>
      <c r="S9" s="18">
        <f t="shared" si="2"/>
        <v>0</v>
      </c>
      <c r="T9" s="18"/>
      <c r="U9" s="18"/>
    </row>
    <row r="10" spans="1:22" s="7" customFormat="1" ht="156" x14ac:dyDescent="0.25">
      <c r="A10" s="80"/>
      <c r="B10" s="46" t="s">
        <v>28</v>
      </c>
      <c r="C10" s="80" t="s">
        <v>140</v>
      </c>
      <c r="D10" s="46" t="s">
        <v>141</v>
      </c>
      <c r="E10" s="43" t="s">
        <v>142</v>
      </c>
      <c r="F10" s="34"/>
      <c r="G10" s="164">
        <v>10000</v>
      </c>
      <c r="H10" s="165"/>
      <c r="I10" s="166" t="s">
        <v>143</v>
      </c>
      <c r="J10" s="167"/>
      <c r="K10" s="72"/>
      <c r="L10" s="72"/>
      <c r="M10" s="72"/>
      <c r="N10" s="72"/>
      <c r="O10" s="72"/>
      <c r="P10" s="72"/>
      <c r="Q10" s="168" t="s">
        <v>36</v>
      </c>
      <c r="R10" s="72"/>
      <c r="S10" s="72"/>
      <c r="T10" s="169"/>
      <c r="U10" s="43"/>
    </row>
    <row r="11" spans="1:22" s="7" customFormat="1" ht="19.5" x14ac:dyDescent="0.25">
      <c r="A11" s="128" t="s">
        <v>144</v>
      </c>
      <c r="B11" s="128"/>
      <c r="C11" s="128"/>
      <c r="D11" s="128"/>
      <c r="E11" s="74"/>
      <c r="F11" s="90" t="s">
        <v>145</v>
      </c>
      <c r="G11" s="91"/>
      <c r="H11" s="92"/>
      <c r="I11" s="21"/>
      <c r="J11" s="28"/>
      <c r="K11" s="170">
        <f>K12+K90</f>
        <v>0</v>
      </c>
      <c r="L11" s="170">
        <f t="shared" ref="L11:S11" si="3">L12+L90</f>
        <v>0</v>
      </c>
      <c r="M11" s="170">
        <f t="shared" si="3"/>
        <v>0</v>
      </c>
      <c r="N11" s="170">
        <f t="shared" si="3"/>
        <v>0</v>
      </c>
      <c r="O11" s="170">
        <f t="shared" si="3"/>
        <v>0</v>
      </c>
      <c r="P11" s="170">
        <f t="shared" si="3"/>
        <v>40</v>
      </c>
      <c r="Q11" s="170">
        <f t="shared" si="3"/>
        <v>35</v>
      </c>
      <c r="R11" s="170">
        <f t="shared" si="3"/>
        <v>18</v>
      </c>
      <c r="S11" s="170">
        <f t="shared" si="3"/>
        <v>8</v>
      </c>
      <c r="T11" s="170"/>
      <c r="U11" s="170"/>
    </row>
    <row r="12" spans="1:22" s="23" customFormat="1" ht="19.5" x14ac:dyDescent="0.25">
      <c r="A12" s="32" t="s">
        <v>146</v>
      </c>
      <c r="B12" s="33"/>
      <c r="C12" s="33"/>
      <c r="D12" s="36"/>
      <c r="E12" s="73"/>
      <c r="F12" s="90" t="s">
        <v>147</v>
      </c>
      <c r="G12" s="91"/>
      <c r="H12" s="92"/>
      <c r="I12" s="27"/>
      <c r="J12" s="29"/>
      <c r="K12" s="18">
        <f t="shared" ref="K12:S12" si="4">COUNTIF(K13:K89,"v")</f>
        <v>0</v>
      </c>
      <c r="L12" s="18">
        <f t="shared" si="4"/>
        <v>0</v>
      </c>
      <c r="M12" s="18">
        <f t="shared" si="4"/>
        <v>0</v>
      </c>
      <c r="N12" s="18">
        <f t="shared" si="4"/>
        <v>0</v>
      </c>
      <c r="O12" s="18">
        <f t="shared" si="4"/>
        <v>0</v>
      </c>
      <c r="P12" s="18">
        <f t="shared" si="4"/>
        <v>33</v>
      </c>
      <c r="Q12" s="18">
        <f t="shared" si="4"/>
        <v>29</v>
      </c>
      <c r="R12" s="18">
        <f t="shared" si="4"/>
        <v>14</v>
      </c>
      <c r="S12" s="18">
        <f t="shared" si="4"/>
        <v>1</v>
      </c>
      <c r="T12" s="25"/>
      <c r="U12" s="18"/>
    </row>
    <row r="13" spans="1:22" s="24" customFormat="1" ht="182.25" customHeight="1" x14ac:dyDescent="0.25">
      <c r="A13" s="80"/>
      <c r="B13" s="46" t="s">
        <v>148</v>
      </c>
      <c r="C13" s="46" t="s">
        <v>149</v>
      </c>
      <c r="D13" s="80" t="s">
        <v>150</v>
      </c>
      <c r="E13" s="43" t="s">
        <v>151</v>
      </c>
      <c r="F13" s="34">
        <v>-334</v>
      </c>
      <c r="G13" s="164"/>
      <c r="H13" s="165"/>
      <c r="I13" s="171" t="s">
        <v>152</v>
      </c>
      <c r="J13" s="172"/>
      <c r="K13" s="168"/>
      <c r="L13" s="173"/>
      <c r="M13" s="80"/>
      <c r="N13" s="80"/>
      <c r="O13" s="173"/>
      <c r="P13" s="168" t="s">
        <v>36</v>
      </c>
      <c r="Q13" s="173"/>
      <c r="R13" s="173"/>
      <c r="S13" s="80"/>
      <c r="T13" s="43"/>
      <c r="U13" s="174"/>
      <c r="V13" s="175"/>
    </row>
    <row r="14" spans="1:22" s="24" customFormat="1" ht="273" x14ac:dyDescent="0.25">
      <c r="A14" s="80"/>
      <c r="B14" s="46" t="s">
        <v>153</v>
      </c>
      <c r="C14" s="176" t="s">
        <v>154</v>
      </c>
      <c r="D14" s="80" t="s">
        <v>155</v>
      </c>
      <c r="E14" s="43" t="s">
        <v>156</v>
      </c>
      <c r="F14" s="34">
        <v>-1090</v>
      </c>
      <c r="G14" s="164"/>
      <c r="H14" s="165"/>
      <c r="I14" s="171" t="s">
        <v>157</v>
      </c>
      <c r="J14" s="172"/>
      <c r="K14" s="168"/>
      <c r="L14" s="173"/>
      <c r="M14" s="80"/>
      <c r="N14" s="80"/>
      <c r="O14" s="173"/>
      <c r="P14" s="168" t="s">
        <v>36</v>
      </c>
      <c r="Q14" s="173"/>
      <c r="R14" s="173"/>
      <c r="S14" s="80"/>
      <c r="T14" s="43"/>
      <c r="U14" s="174"/>
      <c r="V14" s="175"/>
    </row>
    <row r="15" spans="1:22" s="24" customFormat="1" ht="253.5" x14ac:dyDescent="0.25">
      <c r="A15" s="80"/>
      <c r="B15" s="46" t="s">
        <v>158</v>
      </c>
      <c r="C15" s="46" t="s">
        <v>149</v>
      </c>
      <c r="D15" s="80" t="s">
        <v>150</v>
      </c>
      <c r="E15" s="43" t="s">
        <v>159</v>
      </c>
      <c r="F15" s="34"/>
      <c r="G15" s="164">
        <v>3815</v>
      </c>
      <c r="H15" s="165">
        <v>0.1</v>
      </c>
      <c r="I15" s="171" t="s">
        <v>160</v>
      </c>
      <c r="J15" s="172"/>
      <c r="K15" s="168"/>
      <c r="L15" s="173"/>
      <c r="M15" s="80"/>
      <c r="N15" s="80"/>
      <c r="O15" s="173"/>
      <c r="P15" s="177"/>
      <c r="Q15" s="168" t="s">
        <v>36</v>
      </c>
      <c r="R15" s="173"/>
      <c r="S15" s="80"/>
      <c r="T15" s="43"/>
      <c r="U15" s="174"/>
      <c r="V15" s="175"/>
    </row>
    <row r="16" spans="1:22" s="24" customFormat="1" ht="175.5" x14ac:dyDescent="0.25">
      <c r="A16" s="80"/>
      <c r="B16" s="46" t="s">
        <v>161</v>
      </c>
      <c r="C16" s="176" t="s">
        <v>162</v>
      </c>
      <c r="D16" s="80" t="s">
        <v>163</v>
      </c>
      <c r="E16" s="43" t="s">
        <v>164</v>
      </c>
      <c r="F16" s="34">
        <v>-8010</v>
      </c>
      <c r="G16" s="164"/>
      <c r="H16" s="165"/>
      <c r="I16" s="171" t="s">
        <v>165</v>
      </c>
      <c r="J16" s="172"/>
      <c r="K16" s="168"/>
      <c r="L16" s="173"/>
      <c r="M16" s="80"/>
      <c r="N16" s="80"/>
      <c r="O16" s="173"/>
      <c r="P16" s="168" t="s">
        <v>36</v>
      </c>
      <c r="Q16" s="173"/>
      <c r="R16" s="173"/>
      <c r="S16" s="80"/>
      <c r="T16" s="43"/>
      <c r="U16" s="174"/>
      <c r="V16" s="175"/>
    </row>
    <row r="17" spans="1:22" s="24" customFormat="1" ht="175.5" x14ac:dyDescent="0.25">
      <c r="A17" s="80"/>
      <c r="B17" s="46" t="s">
        <v>166</v>
      </c>
      <c r="C17" s="176" t="s">
        <v>154</v>
      </c>
      <c r="D17" s="80" t="s">
        <v>167</v>
      </c>
      <c r="E17" s="43" t="s">
        <v>168</v>
      </c>
      <c r="F17" s="34">
        <v>-5000</v>
      </c>
      <c r="G17" s="164">
        <v>32530</v>
      </c>
      <c r="H17" s="165">
        <v>0.1</v>
      </c>
      <c r="I17" s="171" t="s">
        <v>169</v>
      </c>
      <c r="J17" s="172"/>
      <c r="K17" s="168"/>
      <c r="L17" s="173"/>
      <c r="M17" s="80"/>
      <c r="N17" s="80"/>
      <c r="O17" s="173"/>
      <c r="P17" s="177"/>
      <c r="Q17" s="173"/>
      <c r="R17" s="168" t="s">
        <v>36</v>
      </c>
      <c r="S17" s="80"/>
      <c r="T17" s="43"/>
      <c r="U17" s="174"/>
      <c r="V17" s="175"/>
    </row>
    <row r="18" spans="1:22" s="24" customFormat="1" ht="175.5" x14ac:dyDescent="0.25">
      <c r="A18" s="80"/>
      <c r="B18" s="46" t="s">
        <v>170</v>
      </c>
      <c r="C18" s="46" t="s">
        <v>149</v>
      </c>
      <c r="D18" s="80" t="s">
        <v>150</v>
      </c>
      <c r="E18" s="43" t="s">
        <v>171</v>
      </c>
      <c r="F18" s="34">
        <v>-4005</v>
      </c>
      <c r="G18" s="164"/>
      <c r="H18" s="165"/>
      <c r="I18" s="171" t="s">
        <v>172</v>
      </c>
      <c r="J18" s="172"/>
      <c r="K18" s="168"/>
      <c r="L18" s="173"/>
      <c r="M18" s="80"/>
      <c r="N18" s="80"/>
      <c r="O18" s="173"/>
      <c r="P18" s="168" t="s">
        <v>36</v>
      </c>
      <c r="Q18" s="173"/>
      <c r="R18" s="173"/>
      <c r="S18" s="80"/>
      <c r="T18" s="43"/>
      <c r="U18" s="174"/>
      <c r="V18" s="175"/>
    </row>
    <row r="19" spans="1:22" s="24" customFormat="1" ht="175.5" x14ac:dyDescent="0.25">
      <c r="A19" s="80"/>
      <c r="B19" s="46" t="s">
        <v>173</v>
      </c>
      <c r="C19" s="176" t="s">
        <v>149</v>
      </c>
      <c r="D19" s="80" t="s">
        <v>174</v>
      </c>
      <c r="E19" s="43" t="s">
        <v>175</v>
      </c>
      <c r="F19" s="34">
        <v>-7500</v>
      </c>
      <c r="G19" s="164"/>
      <c r="H19" s="165"/>
      <c r="I19" s="171" t="s">
        <v>172</v>
      </c>
      <c r="J19" s="172"/>
      <c r="K19" s="168"/>
      <c r="L19" s="173"/>
      <c r="M19" s="80"/>
      <c r="N19" s="80"/>
      <c r="O19" s="173"/>
      <c r="P19" s="168" t="s">
        <v>36</v>
      </c>
      <c r="Q19" s="173"/>
      <c r="R19" s="173"/>
      <c r="S19" s="80"/>
      <c r="T19" s="43"/>
      <c r="U19" s="174"/>
      <c r="V19" s="175"/>
    </row>
    <row r="20" spans="1:22" s="24" customFormat="1" ht="195" x14ac:dyDescent="0.25">
      <c r="A20" s="80"/>
      <c r="B20" s="46" t="s">
        <v>176</v>
      </c>
      <c r="C20" s="176" t="s">
        <v>162</v>
      </c>
      <c r="D20" s="80" t="s">
        <v>163</v>
      </c>
      <c r="E20" s="43" t="s">
        <v>177</v>
      </c>
      <c r="F20" s="34">
        <v>-2520</v>
      </c>
      <c r="G20" s="164"/>
      <c r="H20" s="165"/>
      <c r="I20" s="171" t="s">
        <v>178</v>
      </c>
      <c r="J20" s="172"/>
      <c r="K20" s="168"/>
      <c r="L20" s="173"/>
      <c r="M20" s="80"/>
      <c r="N20" s="80"/>
      <c r="O20" s="173"/>
      <c r="P20" s="168" t="s">
        <v>36</v>
      </c>
      <c r="Q20" s="173"/>
      <c r="R20" s="173"/>
      <c r="S20" s="80"/>
      <c r="T20" s="43"/>
      <c r="U20" s="174"/>
      <c r="V20" s="175"/>
    </row>
    <row r="21" spans="1:22" s="24" customFormat="1" ht="141" customHeight="1" x14ac:dyDescent="0.25">
      <c r="A21" s="80"/>
      <c r="B21" s="46" t="s">
        <v>179</v>
      </c>
      <c r="C21" s="176" t="s">
        <v>162</v>
      </c>
      <c r="D21" s="80" t="s">
        <v>163</v>
      </c>
      <c r="E21" s="43" t="s">
        <v>180</v>
      </c>
      <c r="F21" s="34">
        <v>-4672</v>
      </c>
      <c r="G21" s="164"/>
      <c r="H21" s="165"/>
      <c r="I21" s="171" t="s">
        <v>181</v>
      </c>
      <c r="J21" s="172"/>
      <c r="K21" s="168"/>
      <c r="L21" s="173"/>
      <c r="M21" s="80"/>
      <c r="N21" s="80"/>
      <c r="O21" s="173"/>
      <c r="P21" s="168" t="s">
        <v>36</v>
      </c>
      <c r="Q21" s="173"/>
      <c r="R21" s="173"/>
      <c r="S21" s="80"/>
      <c r="T21" s="43"/>
      <c r="U21" s="174"/>
    </row>
    <row r="22" spans="1:22" s="24" customFormat="1" ht="117" x14ac:dyDescent="0.25">
      <c r="A22" s="80"/>
      <c r="B22" s="46" t="s">
        <v>182</v>
      </c>
      <c r="C22" s="46" t="s">
        <v>149</v>
      </c>
      <c r="D22" s="80" t="s">
        <v>150</v>
      </c>
      <c r="E22" s="43" t="s">
        <v>183</v>
      </c>
      <c r="F22" s="81">
        <v>-1500</v>
      </c>
      <c r="G22" s="178">
        <v>1107</v>
      </c>
      <c r="H22" s="179">
        <v>0.2</v>
      </c>
      <c r="I22" s="171" t="s">
        <v>184</v>
      </c>
      <c r="J22" s="172"/>
      <c r="K22" s="168"/>
      <c r="L22" s="173"/>
      <c r="M22" s="80"/>
      <c r="N22" s="80"/>
      <c r="O22" s="173"/>
      <c r="P22" s="177"/>
      <c r="Q22" s="173"/>
      <c r="R22" s="168" t="s">
        <v>36</v>
      </c>
      <c r="S22" s="80"/>
      <c r="T22" s="43"/>
      <c r="U22" s="174"/>
    </row>
    <row r="23" spans="1:22" s="24" customFormat="1" ht="134.25" customHeight="1" x14ac:dyDescent="0.25">
      <c r="A23" s="80"/>
      <c r="B23" s="46" t="s">
        <v>185</v>
      </c>
      <c r="C23" s="176" t="s">
        <v>154</v>
      </c>
      <c r="D23" s="80" t="s">
        <v>167</v>
      </c>
      <c r="E23" s="43" t="s">
        <v>186</v>
      </c>
      <c r="F23" s="34">
        <v>-500</v>
      </c>
      <c r="G23" s="164">
        <v>553</v>
      </c>
      <c r="H23" s="165">
        <v>0.1</v>
      </c>
      <c r="I23" s="171" t="s">
        <v>187</v>
      </c>
      <c r="J23" s="172"/>
      <c r="K23" s="168"/>
      <c r="L23" s="173"/>
      <c r="M23" s="80"/>
      <c r="N23" s="80"/>
      <c r="O23" s="173"/>
      <c r="P23" s="177"/>
      <c r="Q23" s="173"/>
      <c r="R23" s="168" t="s">
        <v>36</v>
      </c>
      <c r="S23" s="80"/>
      <c r="T23" s="43"/>
      <c r="U23" s="174"/>
    </row>
    <row r="24" spans="1:22" s="24" customFormat="1" ht="195" x14ac:dyDescent="0.25">
      <c r="A24" s="80"/>
      <c r="B24" s="46" t="s">
        <v>188</v>
      </c>
      <c r="C24" s="46" t="s">
        <v>149</v>
      </c>
      <c r="D24" s="80" t="s">
        <v>150</v>
      </c>
      <c r="E24" s="43" t="s">
        <v>189</v>
      </c>
      <c r="F24" s="34"/>
      <c r="G24" s="164">
        <v>105</v>
      </c>
      <c r="H24" s="165">
        <v>0.1</v>
      </c>
      <c r="I24" s="171" t="s">
        <v>190</v>
      </c>
      <c r="J24" s="172"/>
      <c r="K24" s="168"/>
      <c r="L24" s="173"/>
      <c r="M24" s="80"/>
      <c r="N24" s="80"/>
      <c r="O24" s="173"/>
      <c r="P24" s="177"/>
      <c r="Q24" s="168" t="s">
        <v>36</v>
      </c>
      <c r="R24" s="173"/>
      <c r="S24" s="80"/>
      <c r="T24" s="43"/>
      <c r="U24" s="174"/>
    </row>
    <row r="25" spans="1:22" s="24" customFormat="1" ht="281.25" customHeight="1" x14ac:dyDescent="0.25">
      <c r="A25" s="80"/>
      <c r="B25" s="46" t="s">
        <v>191</v>
      </c>
      <c r="C25" s="46" t="s">
        <v>149</v>
      </c>
      <c r="D25" s="80" t="s">
        <v>192</v>
      </c>
      <c r="E25" s="43" t="s">
        <v>193</v>
      </c>
      <c r="F25" s="34">
        <v>-3000</v>
      </c>
      <c r="G25" s="164">
        <v>8598</v>
      </c>
      <c r="H25" s="165">
        <v>0.3</v>
      </c>
      <c r="I25" s="180" t="s">
        <v>194</v>
      </c>
      <c r="J25" s="172"/>
      <c r="K25" s="168"/>
      <c r="L25" s="173"/>
      <c r="M25" s="80"/>
      <c r="N25" s="80"/>
      <c r="O25" s="173"/>
      <c r="P25" s="177"/>
      <c r="Q25" s="173"/>
      <c r="R25" s="168" t="s">
        <v>36</v>
      </c>
      <c r="S25" s="80"/>
      <c r="T25" s="43"/>
      <c r="U25" s="174"/>
    </row>
    <row r="26" spans="1:22" s="24" customFormat="1" ht="138.75" customHeight="1" x14ac:dyDescent="0.25">
      <c r="A26" s="80"/>
      <c r="B26" s="46" t="s">
        <v>195</v>
      </c>
      <c r="C26" s="46" t="s">
        <v>154</v>
      </c>
      <c r="D26" s="80" t="s">
        <v>196</v>
      </c>
      <c r="E26" s="43" t="s">
        <v>197</v>
      </c>
      <c r="F26" s="34"/>
      <c r="G26" s="164">
        <v>2866</v>
      </c>
      <c r="H26" s="165">
        <v>0.1</v>
      </c>
      <c r="I26" s="181" t="s">
        <v>198</v>
      </c>
      <c r="J26" s="172"/>
      <c r="K26" s="168"/>
      <c r="L26" s="173"/>
      <c r="M26" s="80"/>
      <c r="N26" s="80"/>
      <c r="O26" s="173"/>
      <c r="P26" s="177"/>
      <c r="Q26" s="168" t="s">
        <v>36</v>
      </c>
      <c r="R26" s="168"/>
      <c r="S26" s="80"/>
      <c r="T26" s="43"/>
      <c r="U26" s="174"/>
    </row>
    <row r="27" spans="1:22" s="24" customFormat="1" ht="273" x14ac:dyDescent="0.25">
      <c r="A27" s="80"/>
      <c r="B27" s="46" t="s">
        <v>199</v>
      </c>
      <c r="C27" s="176" t="s">
        <v>162</v>
      </c>
      <c r="D27" s="80" t="s">
        <v>163</v>
      </c>
      <c r="E27" s="43" t="s">
        <v>200</v>
      </c>
      <c r="F27" s="81">
        <v>-3583</v>
      </c>
      <c r="G27" s="178"/>
      <c r="H27" s="179"/>
      <c r="I27" s="171" t="s">
        <v>201</v>
      </c>
      <c r="J27" s="172"/>
      <c r="K27" s="168"/>
      <c r="L27" s="173"/>
      <c r="M27" s="80"/>
      <c r="N27" s="80"/>
      <c r="O27" s="173"/>
      <c r="P27" s="168" t="s">
        <v>36</v>
      </c>
      <c r="Q27" s="173"/>
      <c r="R27" s="173"/>
      <c r="S27" s="80"/>
      <c r="T27" s="43"/>
      <c r="U27" s="174"/>
    </row>
    <row r="28" spans="1:22" s="24" customFormat="1" ht="133.5" customHeight="1" x14ac:dyDescent="0.25">
      <c r="A28" s="80"/>
      <c r="B28" s="46" t="s">
        <v>202</v>
      </c>
      <c r="C28" s="176" t="s">
        <v>162</v>
      </c>
      <c r="D28" s="80" t="s">
        <v>163</v>
      </c>
      <c r="E28" s="43" t="s">
        <v>203</v>
      </c>
      <c r="F28" s="34">
        <v>-1640</v>
      </c>
      <c r="G28" s="164"/>
      <c r="H28" s="165"/>
      <c r="I28" s="171" t="s">
        <v>204</v>
      </c>
      <c r="J28" s="172"/>
      <c r="K28" s="168"/>
      <c r="L28" s="173"/>
      <c r="M28" s="80"/>
      <c r="N28" s="80"/>
      <c r="O28" s="173"/>
      <c r="P28" s="168" t="s">
        <v>36</v>
      </c>
      <c r="Q28" s="173"/>
      <c r="R28" s="173"/>
      <c r="S28" s="80"/>
      <c r="T28" s="43"/>
      <c r="U28" s="174"/>
    </row>
    <row r="29" spans="1:22" s="24" customFormat="1" ht="117" x14ac:dyDescent="0.25">
      <c r="A29" s="80"/>
      <c r="B29" s="46" t="s">
        <v>205</v>
      </c>
      <c r="C29" s="176" t="s">
        <v>149</v>
      </c>
      <c r="D29" s="80" t="s">
        <v>206</v>
      </c>
      <c r="E29" s="43" t="s">
        <v>207</v>
      </c>
      <c r="F29" s="34">
        <v>-300</v>
      </c>
      <c r="G29" s="164"/>
      <c r="H29" s="165"/>
      <c r="I29" s="171" t="s">
        <v>208</v>
      </c>
      <c r="J29" s="172"/>
      <c r="K29" s="168"/>
      <c r="L29" s="173"/>
      <c r="M29" s="80"/>
      <c r="N29" s="80"/>
      <c r="O29" s="173"/>
      <c r="P29" s="168" t="s">
        <v>36</v>
      </c>
      <c r="Q29" s="173"/>
      <c r="R29" s="173"/>
      <c r="S29" s="80"/>
      <c r="T29" s="43"/>
      <c r="U29" s="174"/>
    </row>
    <row r="30" spans="1:22" s="24" customFormat="1" ht="214.5" x14ac:dyDescent="0.25">
      <c r="A30" s="80"/>
      <c r="B30" s="46" t="s">
        <v>209</v>
      </c>
      <c r="C30" s="176" t="s">
        <v>162</v>
      </c>
      <c r="D30" s="80" t="s">
        <v>163</v>
      </c>
      <c r="E30" s="43" t="s">
        <v>210</v>
      </c>
      <c r="F30" s="34">
        <v>-17011</v>
      </c>
      <c r="G30" s="164"/>
      <c r="H30" s="165"/>
      <c r="I30" s="171" t="s">
        <v>211</v>
      </c>
      <c r="J30" s="172"/>
      <c r="K30" s="168"/>
      <c r="L30" s="173"/>
      <c r="M30" s="80"/>
      <c r="N30" s="80"/>
      <c r="O30" s="173"/>
      <c r="P30" s="168" t="s">
        <v>36</v>
      </c>
      <c r="Q30" s="173"/>
      <c r="R30" s="173"/>
      <c r="S30" s="80"/>
      <c r="T30" s="43"/>
      <c r="U30" s="174"/>
    </row>
    <row r="31" spans="1:22" s="24" customFormat="1" ht="175.5" x14ac:dyDescent="0.25">
      <c r="A31" s="80"/>
      <c r="B31" s="46" t="s">
        <v>212</v>
      </c>
      <c r="C31" s="176" t="s">
        <v>154</v>
      </c>
      <c r="D31" s="80" t="s">
        <v>213</v>
      </c>
      <c r="E31" s="43" t="s">
        <v>214</v>
      </c>
      <c r="F31" s="34">
        <v>-1700</v>
      </c>
      <c r="G31" s="164"/>
      <c r="H31" s="165"/>
      <c r="I31" s="171" t="s">
        <v>215</v>
      </c>
      <c r="J31" s="172"/>
      <c r="K31" s="168"/>
      <c r="L31" s="173"/>
      <c r="M31" s="80"/>
      <c r="N31" s="80"/>
      <c r="O31" s="173"/>
      <c r="P31" s="168" t="s">
        <v>36</v>
      </c>
      <c r="Q31" s="173"/>
      <c r="R31" s="173"/>
      <c r="S31" s="80"/>
      <c r="T31" s="43"/>
      <c r="U31" s="174"/>
    </row>
    <row r="32" spans="1:22" s="24" customFormat="1" ht="97.5" x14ac:dyDescent="0.25">
      <c r="A32" s="80"/>
      <c r="B32" s="46" t="s">
        <v>216</v>
      </c>
      <c r="C32" s="46" t="s">
        <v>154</v>
      </c>
      <c r="D32" s="80" t="s">
        <v>196</v>
      </c>
      <c r="E32" s="43" t="s">
        <v>217</v>
      </c>
      <c r="F32" s="34"/>
      <c r="G32" s="164">
        <v>28310</v>
      </c>
      <c r="H32" s="165">
        <v>0.1</v>
      </c>
      <c r="I32" s="181" t="s">
        <v>198</v>
      </c>
      <c r="J32" s="172"/>
      <c r="K32" s="168"/>
      <c r="L32" s="173"/>
      <c r="M32" s="80"/>
      <c r="N32" s="80"/>
      <c r="O32" s="173"/>
      <c r="P32" s="177"/>
      <c r="Q32" s="168" t="s">
        <v>36</v>
      </c>
      <c r="R32" s="173"/>
      <c r="S32" s="80"/>
      <c r="T32" s="43"/>
      <c r="U32" s="174"/>
    </row>
    <row r="33" spans="1:21" s="24" customFormat="1" ht="117" x14ac:dyDescent="0.25">
      <c r="A33" s="80"/>
      <c r="B33" s="46" t="s">
        <v>218</v>
      </c>
      <c r="C33" s="176" t="s">
        <v>154</v>
      </c>
      <c r="D33" s="80" t="s">
        <v>219</v>
      </c>
      <c r="E33" s="43" t="s">
        <v>220</v>
      </c>
      <c r="F33" s="34"/>
      <c r="G33" s="164">
        <v>28310</v>
      </c>
      <c r="H33" s="165">
        <v>0.1</v>
      </c>
      <c r="I33" s="181" t="s">
        <v>198</v>
      </c>
      <c r="J33" s="172"/>
      <c r="K33" s="168"/>
      <c r="L33" s="173"/>
      <c r="M33" s="80"/>
      <c r="N33" s="80"/>
      <c r="O33" s="173"/>
      <c r="P33" s="177"/>
      <c r="Q33" s="168" t="s">
        <v>36</v>
      </c>
      <c r="R33" s="173"/>
      <c r="S33" s="80"/>
      <c r="T33" s="43"/>
      <c r="U33" s="174"/>
    </row>
    <row r="34" spans="1:21" s="24" customFormat="1" ht="182.25" customHeight="1" x14ac:dyDescent="0.25">
      <c r="A34" s="80"/>
      <c r="B34" s="46" t="s">
        <v>221</v>
      </c>
      <c r="C34" s="176" t="s">
        <v>154</v>
      </c>
      <c r="D34" s="80" t="s">
        <v>167</v>
      </c>
      <c r="E34" s="43" t="s">
        <v>222</v>
      </c>
      <c r="F34" s="34"/>
      <c r="G34" s="164">
        <v>10000</v>
      </c>
      <c r="H34" s="165"/>
      <c r="I34" s="181" t="s">
        <v>198</v>
      </c>
      <c r="J34" s="172"/>
      <c r="K34" s="168"/>
      <c r="L34" s="173"/>
      <c r="M34" s="80"/>
      <c r="N34" s="80"/>
      <c r="O34" s="173"/>
      <c r="P34" s="177"/>
      <c r="Q34" s="168" t="s">
        <v>36</v>
      </c>
      <c r="R34" s="173"/>
      <c r="S34" s="80"/>
      <c r="T34" s="43"/>
      <c r="U34" s="174"/>
    </row>
    <row r="35" spans="1:21" s="24" customFormat="1" ht="234" x14ac:dyDescent="0.25">
      <c r="A35" s="80"/>
      <c r="B35" s="46" t="s">
        <v>223</v>
      </c>
      <c r="C35" s="176" t="s">
        <v>149</v>
      </c>
      <c r="D35" s="80" t="s">
        <v>192</v>
      </c>
      <c r="E35" s="43" t="s">
        <v>224</v>
      </c>
      <c r="F35" s="34">
        <v>-1200</v>
      </c>
      <c r="G35" s="164">
        <v>596</v>
      </c>
      <c r="H35" s="165">
        <v>0.3</v>
      </c>
      <c r="I35" s="171" t="s">
        <v>225</v>
      </c>
      <c r="J35" s="172"/>
      <c r="K35" s="168"/>
      <c r="L35" s="173"/>
      <c r="M35" s="80"/>
      <c r="N35" s="80"/>
      <c r="O35" s="173"/>
      <c r="P35" s="177"/>
      <c r="Q35" s="173"/>
      <c r="R35" s="168" t="s">
        <v>36</v>
      </c>
      <c r="S35" s="80"/>
      <c r="T35" s="43"/>
      <c r="U35" s="174"/>
    </row>
    <row r="36" spans="1:21" s="24" customFormat="1" ht="214.5" x14ac:dyDescent="0.25">
      <c r="A36" s="80"/>
      <c r="B36" s="46" t="s">
        <v>226</v>
      </c>
      <c r="C36" s="176" t="s">
        <v>149</v>
      </c>
      <c r="D36" s="80" t="s">
        <v>227</v>
      </c>
      <c r="E36" s="43" t="s">
        <v>228</v>
      </c>
      <c r="F36" s="34"/>
      <c r="G36" s="164">
        <v>1000</v>
      </c>
      <c r="H36" s="165"/>
      <c r="I36" s="171" t="s">
        <v>229</v>
      </c>
      <c r="J36" s="172"/>
      <c r="K36" s="168"/>
      <c r="L36" s="173"/>
      <c r="M36" s="80"/>
      <c r="N36" s="80"/>
      <c r="O36" s="173"/>
      <c r="P36" s="177"/>
      <c r="Q36" s="168" t="s">
        <v>36</v>
      </c>
      <c r="R36" s="173"/>
      <c r="S36" s="80"/>
      <c r="T36" s="43"/>
      <c r="U36" s="174"/>
    </row>
    <row r="37" spans="1:21" s="24" customFormat="1" ht="214.5" x14ac:dyDescent="0.25">
      <c r="A37" s="80"/>
      <c r="B37" s="46" t="s">
        <v>230</v>
      </c>
      <c r="C37" s="176" t="s">
        <v>154</v>
      </c>
      <c r="D37" s="80" t="s">
        <v>219</v>
      </c>
      <c r="E37" s="43" t="s">
        <v>231</v>
      </c>
      <c r="F37" s="34"/>
      <c r="G37" s="164">
        <v>497</v>
      </c>
      <c r="H37" s="165">
        <v>0.25</v>
      </c>
      <c r="I37" s="171" t="s">
        <v>229</v>
      </c>
      <c r="J37" s="172"/>
      <c r="K37" s="168"/>
      <c r="L37" s="173"/>
      <c r="M37" s="80"/>
      <c r="N37" s="80"/>
      <c r="O37" s="173"/>
      <c r="P37" s="177"/>
      <c r="Q37" s="168" t="s">
        <v>36</v>
      </c>
      <c r="R37" s="173"/>
      <c r="S37" s="80"/>
      <c r="T37" s="43"/>
      <c r="U37" s="174"/>
    </row>
    <row r="38" spans="1:21" s="24" customFormat="1" ht="214.5" x14ac:dyDescent="0.25">
      <c r="A38" s="80"/>
      <c r="B38" s="46" t="s">
        <v>232</v>
      </c>
      <c r="C38" s="176" t="s">
        <v>154</v>
      </c>
      <c r="D38" s="80" t="s">
        <v>233</v>
      </c>
      <c r="E38" s="43" t="s">
        <v>234</v>
      </c>
      <c r="F38" s="34"/>
      <c r="G38" s="164">
        <v>400</v>
      </c>
      <c r="H38" s="165"/>
      <c r="I38" s="171" t="s">
        <v>229</v>
      </c>
      <c r="J38" s="172"/>
      <c r="K38" s="168"/>
      <c r="L38" s="173"/>
      <c r="M38" s="80"/>
      <c r="N38" s="80"/>
      <c r="O38" s="173"/>
      <c r="P38" s="177"/>
      <c r="Q38" s="168" t="s">
        <v>36</v>
      </c>
      <c r="R38" s="173"/>
      <c r="S38" s="80"/>
      <c r="T38" s="43"/>
      <c r="U38" s="174"/>
    </row>
    <row r="39" spans="1:21" s="24" customFormat="1" ht="214.5" x14ac:dyDescent="0.25">
      <c r="A39" s="80"/>
      <c r="B39" s="46" t="s">
        <v>235</v>
      </c>
      <c r="C39" s="176" t="s">
        <v>149</v>
      </c>
      <c r="D39" s="80" t="s">
        <v>150</v>
      </c>
      <c r="E39" s="43" t="s">
        <v>236</v>
      </c>
      <c r="F39" s="34"/>
      <c r="G39" s="164">
        <v>397</v>
      </c>
      <c r="H39" s="165">
        <v>0.2</v>
      </c>
      <c r="I39" s="171" t="s">
        <v>229</v>
      </c>
      <c r="J39" s="172"/>
      <c r="K39" s="168"/>
      <c r="L39" s="173"/>
      <c r="M39" s="80"/>
      <c r="N39" s="80"/>
      <c r="O39" s="173"/>
      <c r="P39" s="177"/>
      <c r="Q39" s="168" t="s">
        <v>36</v>
      </c>
      <c r="R39" s="173"/>
      <c r="S39" s="80"/>
      <c r="T39" s="43"/>
      <c r="U39" s="174"/>
    </row>
    <row r="40" spans="1:21" s="24" customFormat="1" ht="150.75" customHeight="1" x14ac:dyDescent="0.25">
      <c r="A40" s="80"/>
      <c r="B40" s="46" t="s">
        <v>237</v>
      </c>
      <c r="C40" s="176" t="s">
        <v>149</v>
      </c>
      <c r="D40" s="80" t="s">
        <v>238</v>
      </c>
      <c r="E40" s="43" t="s">
        <v>239</v>
      </c>
      <c r="F40" s="34"/>
      <c r="G40" s="164">
        <v>199</v>
      </c>
      <c r="H40" s="165">
        <v>0.1</v>
      </c>
      <c r="I40" s="171" t="s">
        <v>240</v>
      </c>
      <c r="J40" s="172"/>
      <c r="K40" s="168"/>
      <c r="L40" s="173"/>
      <c r="M40" s="80"/>
      <c r="N40" s="80"/>
      <c r="O40" s="173"/>
      <c r="P40" s="177"/>
      <c r="Q40" s="168" t="s">
        <v>36</v>
      </c>
      <c r="R40" s="173"/>
      <c r="S40" s="80"/>
      <c r="T40" s="43"/>
      <c r="U40" s="174"/>
    </row>
    <row r="41" spans="1:21" s="24" customFormat="1" ht="253.5" x14ac:dyDescent="0.25">
      <c r="A41" s="80"/>
      <c r="B41" s="46" t="s">
        <v>241</v>
      </c>
      <c r="C41" s="176" t="s">
        <v>149</v>
      </c>
      <c r="D41" s="80" t="s">
        <v>242</v>
      </c>
      <c r="E41" s="43" t="s">
        <v>243</v>
      </c>
      <c r="F41" s="34">
        <v>-3490</v>
      </c>
      <c r="G41" s="164"/>
      <c r="H41" s="165"/>
      <c r="I41" s="171" t="s">
        <v>244</v>
      </c>
      <c r="J41" s="172"/>
      <c r="K41" s="168"/>
      <c r="L41" s="173"/>
      <c r="M41" s="80"/>
      <c r="N41" s="80"/>
      <c r="O41" s="173"/>
      <c r="P41" s="168" t="s">
        <v>36</v>
      </c>
      <c r="Q41" s="173"/>
      <c r="R41" s="173"/>
      <c r="S41" s="80"/>
      <c r="T41" s="43"/>
      <c r="U41" s="174"/>
    </row>
    <row r="42" spans="1:21" s="24" customFormat="1" ht="253.5" x14ac:dyDescent="0.25">
      <c r="A42" s="80"/>
      <c r="B42" s="46" t="s">
        <v>245</v>
      </c>
      <c r="C42" s="176" t="s">
        <v>154</v>
      </c>
      <c r="D42" s="80" t="s">
        <v>219</v>
      </c>
      <c r="E42" s="43" t="s">
        <v>246</v>
      </c>
      <c r="F42" s="34"/>
      <c r="G42" s="164">
        <v>40063</v>
      </c>
      <c r="H42" s="165">
        <v>0.25</v>
      </c>
      <c r="I42" s="171" t="s">
        <v>247</v>
      </c>
      <c r="J42" s="172"/>
      <c r="K42" s="168"/>
      <c r="L42" s="173"/>
      <c r="M42" s="80"/>
      <c r="N42" s="80"/>
      <c r="O42" s="173"/>
      <c r="P42" s="177"/>
      <c r="Q42" s="168" t="s">
        <v>36</v>
      </c>
      <c r="R42" s="173"/>
      <c r="S42" s="80"/>
      <c r="T42" s="43"/>
      <c r="U42" s="174"/>
    </row>
    <row r="43" spans="1:21" s="24" customFormat="1" ht="292.5" x14ac:dyDescent="0.25">
      <c r="A43" s="80"/>
      <c r="B43" s="46" t="s">
        <v>248</v>
      </c>
      <c r="C43" s="176" t="s">
        <v>149</v>
      </c>
      <c r="D43" s="80" t="s">
        <v>249</v>
      </c>
      <c r="E43" s="43" t="s">
        <v>250</v>
      </c>
      <c r="F43" s="34"/>
      <c r="G43" s="164">
        <v>16025</v>
      </c>
      <c r="H43" s="165">
        <v>0.1</v>
      </c>
      <c r="I43" s="171" t="s">
        <v>251</v>
      </c>
      <c r="J43" s="172"/>
      <c r="K43" s="168"/>
      <c r="L43" s="173"/>
      <c r="M43" s="80"/>
      <c r="N43" s="80"/>
      <c r="O43" s="173"/>
      <c r="P43" s="177"/>
      <c r="Q43" s="168" t="s">
        <v>36</v>
      </c>
      <c r="R43" s="173"/>
      <c r="S43" s="80"/>
      <c r="T43" s="43"/>
      <c r="U43" s="174"/>
    </row>
    <row r="44" spans="1:21" s="24" customFormat="1" ht="164.25" customHeight="1" x14ac:dyDescent="0.25">
      <c r="A44" s="80"/>
      <c r="B44" s="46" t="s">
        <v>252</v>
      </c>
      <c r="C44" s="176" t="s">
        <v>154</v>
      </c>
      <c r="D44" s="80" t="s">
        <v>155</v>
      </c>
      <c r="E44" s="43" t="s">
        <v>253</v>
      </c>
      <c r="F44" s="34"/>
      <c r="G44" s="164">
        <v>16025</v>
      </c>
      <c r="H44" s="165">
        <v>0.1</v>
      </c>
      <c r="I44" s="181" t="s">
        <v>198</v>
      </c>
      <c r="J44" s="172"/>
      <c r="K44" s="168"/>
      <c r="L44" s="173"/>
      <c r="M44" s="80"/>
      <c r="N44" s="80"/>
      <c r="O44" s="173"/>
      <c r="P44" s="177"/>
      <c r="Q44" s="168" t="s">
        <v>36</v>
      </c>
      <c r="R44" s="173"/>
      <c r="S44" s="80"/>
      <c r="T44" s="43"/>
      <c r="U44" s="174"/>
    </row>
    <row r="45" spans="1:21" s="24" customFormat="1" ht="253.5" x14ac:dyDescent="0.25">
      <c r="A45" s="80"/>
      <c r="B45" s="46" t="s">
        <v>254</v>
      </c>
      <c r="C45" s="176" t="s">
        <v>149</v>
      </c>
      <c r="D45" s="80" t="s">
        <v>192</v>
      </c>
      <c r="E45" s="43" t="s">
        <v>255</v>
      </c>
      <c r="F45" s="34">
        <v>-3490</v>
      </c>
      <c r="G45" s="164"/>
      <c r="H45" s="165"/>
      <c r="I45" s="171" t="s">
        <v>256</v>
      </c>
      <c r="J45" s="172"/>
      <c r="K45" s="168"/>
      <c r="L45" s="173"/>
      <c r="M45" s="80"/>
      <c r="N45" s="80"/>
      <c r="O45" s="173"/>
      <c r="P45" s="168" t="s">
        <v>36</v>
      </c>
      <c r="Q45" s="173"/>
      <c r="R45" s="173"/>
      <c r="S45" s="80"/>
      <c r="T45" s="43"/>
      <c r="U45" s="174"/>
    </row>
    <row r="46" spans="1:21" s="24" customFormat="1" ht="253.5" x14ac:dyDescent="0.25">
      <c r="A46" s="80"/>
      <c r="B46" s="46" t="s">
        <v>257</v>
      </c>
      <c r="C46" s="176" t="s">
        <v>149</v>
      </c>
      <c r="D46" s="80" t="s">
        <v>238</v>
      </c>
      <c r="E46" s="43" t="s">
        <v>258</v>
      </c>
      <c r="F46" s="34">
        <v>-3490</v>
      </c>
      <c r="G46" s="164"/>
      <c r="H46" s="165"/>
      <c r="I46" s="171" t="s">
        <v>259</v>
      </c>
      <c r="J46" s="172"/>
      <c r="K46" s="168"/>
      <c r="L46" s="173"/>
      <c r="M46" s="80"/>
      <c r="N46" s="80"/>
      <c r="O46" s="173"/>
      <c r="P46" s="168" t="s">
        <v>36</v>
      </c>
      <c r="Q46" s="173"/>
      <c r="R46" s="173"/>
      <c r="S46" s="80"/>
      <c r="T46" s="43"/>
      <c r="U46" s="174"/>
    </row>
    <row r="47" spans="1:21" s="24" customFormat="1" ht="253.5" x14ac:dyDescent="0.25">
      <c r="A47" s="80"/>
      <c r="B47" s="46" t="s">
        <v>260</v>
      </c>
      <c r="C47" s="176" t="s">
        <v>149</v>
      </c>
      <c r="D47" s="80" t="s">
        <v>206</v>
      </c>
      <c r="E47" s="43" t="s">
        <v>261</v>
      </c>
      <c r="F47" s="34"/>
      <c r="G47" s="164">
        <v>1745</v>
      </c>
      <c r="H47" s="165">
        <v>0.5</v>
      </c>
      <c r="I47" s="171" t="s">
        <v>262</v>
      </c>
      <c r="J47" s="172"/>
      <c r="K47" s="168"/>
      <c r="L47" s="173"/>
      <c r="M47" s="80"/>
      <c r="N47" s="80"/>
      <c r="O47" s="173"/>
      <c r="P47" s="177"/>
      <c r="Q47" s="168" t="s">
        <v>36</v>
      </c>
      <c r="R47" s="173"/>
      <c r="S47" s="80"/>
      <c r="T47" s="43"/>
      <c r="U47" s="174"/>
    </row>
    <row r="48" spans="1:21" s="24" customFormat="1" ht="78" x14ac:dyDescent="0.25">
      <c r="A48" s="80"/>
      <c r="B48" s="46" t="s">
        <v>263</v>
      </c>
      <c r="C48" s="176" t="s">
        <v>154</v>
      </c>
      <c r="D48" s="80" t="s">
        <v>196</v>
      </c>
      <c r="E48" s="43" t="s">
        <v>264</v>
      </c>
      <c r="F48" s="34"/>
      <c r="G48" s="164">
        <v>2589</v>
      </c>
      <c r="H48" s="165">
        <v>0.1</v>
      </c>
      <c r="I48" s="181" t="s">
        <v>198</v>
      </c>
      <c r="J48" s="172"/>
      <c r="K48" s="168"/>
      <c r="L48" s="173"/>
      <c r="M48" s="80"/>
      <c r="N48" s="80"/>
      <c r="O48" s="173"/>
      <c r="P48" s="177"/>
      <c r="Q48" s="168" t="s">
        <v>36</v>
      </c>
      <c r="R48" s="173"/>
      <c r="S48" s="80"/>
      <c r="T48" s="43"/>
      <c r="U48" s="174"/>
    </row>
    <row r="49" spans="1:21" s="24" customFormat="1" ht="195" x14ac:dyDescent="0.25">
      <c r="A49" s="80"/>
      <c r="B49" s="46" t="s">
        <v>265</v>
      </c>
      <c r="C49" s="176" t="s">
        <v>149</v>
      </c>
      <c r="D49" s="80" t="s">
        <v>249</v>
      </c>
      <c r="E49" s="43" t="s">
        <v>266</v>
      </c>
      <c r="F49" s="34">
        <v>-1420</v>
      </c>
      <c r="G49" s="164"/>
      <c r="H49" s="165"/>
      <c r="I49" s="171" t="s">
        <v>267</v>
      </c>
      <c r="J49" s="172"/>
      <c r="K49" s="168"/>
      <c r="L49" s="173"/>
      <c r="M49" s="80"/>
      <c r="N49" s="80"/>
      <c r="O49" s="173"/>
      <c r="P49" s="168" t="s">
        <v>36</v>
      </c>
      <c r="Q49" s="173"/>
      <c r="R49" s="173"/>
      <c r="S49" s="80"/>
      <c r="T49" s="43"/>
      <c r="U49" s="174"/>
    </row>
    <row r="50" spans="1:21" s="24" customFormat="1" ht="214.5" x14ac:dyDescent="0.25">
      <c r="A50" s="80"/>
      <c r="B50" s="46" t="s">
        <v>268</v>
      </c>
      <c r="C50" s="176" t="s">
        <v>162</v>
      </c>
      <c r="D50" s="80" t="s">
        <v>163</v>
      </c>
      <c r="E50" s="43" t="s">
        <v>269</v>
      </c>
      <c r="F50" s="34">
        <v>-10000</v>
      </c>
      <c r="G50" s="164">
        <v>4452</v>
      </c>
      <c r="H50" s="165">
        <v>0.3</v>
      </c>
      <c r="I50" s="171" t="s">
        <v>270</v>
      </c>
      <c r="J50" s="172"/>
      <c r="K50" s="168"/>
      <c r="L50" s="173"/>
      <c r="M50" s="80"/>
      <c r="N50" s="80"/>
      <c r="O50" s="173"/>
      <c r="P50" s="177"/>
      <c r="Q50" s="173"/>
      <c r="R50" s="168" t="s">
        <v>36</v>
      </c>
      <c r="S50" s="80"/>
      <c r="T50" s="43"/>
      <c r="U50" s="174"/>
    </row>
    <row r="51" spans="1:21" s="24" customFormat="1" ht="195" x14ac:dyDescent="0.25">
      <c r="A51" s="80"/>
      <c r="B51" s="46" t="s">
        <v>271</v>
      </c>
      <c r="C51" s="176" t="s">
        <v>149</v>
      </c>
      <c r="D51" s="80" t="s">
        <v>227</v>
      </c>
      <c r="E51" s="43" t="s">
        <v>272</v>
      </c>
      <c r="F51" s="34">
        <v>-3020</v>
      </c>
      <c r="G51" s="164"/>
      <c r="H51" s="165"/>
      <c r="I51" s="171" t="s">
        <v>273</v>
      </c>
      <c r="J51" s="172"/>
      <c r="K51" s="168"/>
      <c r="L51" s="173"/>
      <c r="M51" s="80"/>
      <c r="N51" s="80"/>
      <c r="O51" s="173"/>
      <c r="P51" s="168" t="s">
        <v>36</v>
      </c>
      <c r="Q51" s="173"/>
      <c r="R51" s="173"/>
      <c r="S51" s="80"/>
      <c r="T51" s="43"/>
      <c r="U51" s="174"/>
    </row>
    <row r="52" spans="1:21" s="24" customFormat="1" ht="136.5" x14ac:dyDescent="0.25">
      <c r="A52" s="80"/>
      <c r="B52" s="46" t="s">
        <v>274</v>
      </c>
      <c r="C52" s="176" t="s">
        <v>149</v>
      </c>
      <c r="D52" s="80" t="s">
        <v>242</v>
      </c>
      <c r="E52" s="43" t="s">
        <v>275</v>
      </c>
      <c r="F52" s="34">
        <v>-1510</v>
      </c>
      <c r="G52" s="164"/>
      <c r="H52" s="165"/>
      <c r="I52" s="171" t="s">
        <v>276</v>
      </c>
      <c r="J52" s="172"/>
      <c r="K52" s="168"/>
      <c r="L52" s="173"/>
      <c r="M52" s="80"/>
      <c r="N52" s="80"/>
      <c r="O52" s="173"/>
      <c r="P52" s="168" t="s">
        <v>36</v>
      </c>
      <c r="Q52" s="173"/>
      <c r="R52" s="173"/>
      <c r="S52" s="80"/>
      <c r="T52" s="43"/>
      <c r="U52" s="174"/>
    </row>
    <row r="53" spans="1:21" s="24" customFormat="1" ht="136.5" x14ac:dyDescent="0.25">
      <c r="A53" s="80"/>
      <c r="B53" s="46" t="s">
        <v>277</v>
      </c>
      <c r="C53" s="176" t="s">
        <v>149</v>
      </c>
      <c r="D53" s="80" t="s">
        <v>192</v>
      </c>
      <c r="E53" s="43" t="s">
        <v>278</v>
      </c>
      <c r="F53" s="34">
        <v>-1900</v>
      </c>
      <c r="G53" s="164">
        <v>906</v>
      </c>
      <c r="H53" s="165">
        <v>0.3</v>
      </c>
      <c r="I53" s="171" t="s">
        <v>279</v>
      </c>
      <c r="J53" s="172"/>
      <c r="K53" s="168"/>
      <c r="L53" s="173"/>
      <c r="M53" s="80"/>
      <c r="N53" s="80"/>
      <c r="O53" s="173"/>
      <c r="P53" s="177"/>
      <c r="Q53" s="173"/>
      <c r="R53" s="168" t="s">
        <v>36</v>
      </c>
      <c r="S53" s="80"/>
      <c r="T53" s="43"/>
      <c r="U53" s="174"/>
    </row>
    <row r="54" spans="1:21" s="24" customFormat="1" ht="195" x14ac:dyDescent="0.25">
      <c r="A54" s="80"/>
      <c r="B54" s="46" t="s">
        <v>280</v>
      </c>
      <c r="C54" s="176" t="s">
        <v>162</v>
      </c>
      <c r="D54" s="80" t="s">
        <v>163</v>
      </c>
      <c r="E54" s="43" t="s">
        <v>281</v>
      </c>
      <c r="F54" s="34">
        <v>-36381</v>
      </c>
      <c r="G54" s="164"/>
      <c r="H54" s="165"/>
      <c r="I54" s="171" t="s">
        <v>282</v>
      </c>
      <c r="J54" s="172"/>
      <c r="K54" s="168"/>
      <c r="L54" s="173"/>
      <c r="M54" s="80"/>
      <c r="N54" s="80"/>
      <c r="O54" s="173"/>
      <c r="P54" s="168" t="s">
        <v>36</v>
      </c>
      <c r="Q54" s="173"/>
      <c r="R54" s="173"/>
      <c r="S54" s="80"/>
      <c r="T54" s="43"/>
      <c r="U54" s="174"/>
    </row>
    <row r="55" spans="1:21" s="24" customFormat="1" ht="179.25" customHeight="1" x14ac:dyDescent="0.25">
      <c r="A55" s="80"/>
      <c r="B55" s="46" t="s">
        <v>283</v>
      </c>
      <c r="C55" s="176" t="s">
        <v>149</v>
      </c>
      <c r="D55" s="80" t="s">
        <v>249</v>
      </c>
      <c r="E55" s="43" t="s">
        <v>284</v>
      </c>
      <c r="F55" s="34">
        <v>-2000</v>
      </c>
      <c r="G55" s="164"/>
      <c r="H55" s="165"/>
      <c r="I55" s="171" t="s">
        <v>285</v>
      </c>
      <c r="J55" s="172"/>
      <c r="K55" s="168"/>
      <c r="L55" s="173"/>
      <c r="M55" s="80"/>
      <c r="N55" s="80"/>
      <c r="O55" s="173"/>
      <c r="P55" s="168" t="s">
        <v>36</v>
      </c>
      <c r="Q55" s="173"/>
      <c r="R55" s="173"/>
      <c r="S55" s="80"/>
      <c r="T55" s="43"/>
      <c r="U55" s="174"/>
    </row>
    <row r="56" spans="1:21" s="24" customFormat="1" ht="117" x14ac:dyDescent="0.25">
      <c r="A56" s="80"/>
      <c r="B56" s="46" t="s">
        <v>286</v>
      </c>
      <c r="C56" s="176" t="s">
        <v>149</v>
      </c>
      <c r="D56" s="80" t="s">
        <v>192</v>
      </c>
      <c r="E56" s="43" t="s">
        <v>287</v>
      </c>
      <c r="F56" s="34">
        <v>-22000</v>
      </c>
      <c r="G56" s="164">
        <v>10914</v>
      </c>
      <c r="H56" s="165">
        <v>0.3</v>
      </c>
      <c r="I56" s="171" t="s">
        <v>288</v>
      </c>
      <c r="J56" s="172"/>
      <c r="K56" s="168"/>
      <c r="L56" s="173"/>
      <c r="M56" s="80"/>
      <c r="N56" s="80"/>
      <c r="O56" s="173"/>
      <c r="P56" s="177"/>
      <c r="Q56" s="173"/>
      <c r="R56" s="168" t="s">
        <v>36</v>
      </c>
      <c r="S56" s="80"/>
      <c r="T56" s="43"/>
      <c r="U56" s="174"/>
    </row>
    <row r="57" spans="1:21" s="24" customFormat="1" ht="117" x14ac:dyDescent="0.25">
      <c r="A57" s="80"/>
      <c r="B57" s="46" t="s">
        <v>289</v>
      </c>
      <c r="C57" s="176" t="s">
        <v>154</v>
      </c>
      <c r="D57" s="80" t="s">
        <v>219</v>
      </c>
      <c r="E57" s="43" t="s">
        <v>290</v>
      </c>
      <c r="F57" s="34"/>
      <c r="G57" s="164">
        <v>9095</v>
      </c>
      <c r="H57" s="165">
        <v>0.25</v>
      </c>
      <c r="I57" s="171" t="s">
        <v>291</v>
      </c>
      <c r="J57" s="172"/>
      <c r="K57" s="168"/>
      <c r="L57" s="173"/>
      <c r="M57" s="80"/>
      <c r="N57" s="80"/>
      <c r="O57" s="173"/>
      <c r="P57" s="177"/>
      <c r="Q57" s="168" t="s">
        <v>36</v>
      </c>
      <c r="R57" s="173"/>
      <c r="S57" s="80"/>
      <c r="T57" s="43"/>
      <c r="U57" s="174"/>
    </row>
    <row r="58" spans="1:21" s="24" customFormat="1" ht="117" x14ac:dyDescent="0.25">
      <c r="A58" s="80"/>
      <c r="B58" s="46" t="s">
        <v>292</v>
      </c>
      <c r="C58" s="176" t="s">
        <v>149</v>
      </c>
      <c r="D58" s="80" t="s">
        <v>150</v>
      </c>
      <c r="E58" s="43" t="s">
        <v>293</v>
      </c>
      <c r="F58" s="34"/>
      <c r="G58" s="164">
        <v>3638</v>
      </c>
      <c r="H58" s="165">
        <v>0.1</v>
      </c>
      <c r="I58" s="171" t="s">
        <v>291</v>
      </c>
      <c r="J58" s="172"/>
      <c r="K58" s="168"/>
      <c r="L58" s="173"/>
      <c r="M58" s="80"/>
      <c r="N58" s="80"/>
      <c r="O58" s="173"/>
      <c r="P58" s="177"/>
      <c r="Q58" s="168" t="s">
        <v>36</v>
      </c>
      <c r="R58" s="173"/>
      <c r="S58" s="80"/>
      <c r="T58" s="43"/>
      <c r="U58" s="174"/>
    </row>
    <row r="59" spans="1:21" s="24" customFormat="1" ht="117" x14ac:dyDescent="0.25">
      <c r="A59" s="80"/>
      <c r="B59" s="46" t="s">
        <v>294</v>
      </c>
      <c r="C59" s="176" t="s">
        <v>154</v>
      </c>
      <c r="D59" s="80" t="s">
        <v>155</v>
      </c>
      <c r="E59" s="43" t="s">
        <v>295</v>
      </c>
      <c r="F59" s="34"/>
      <c r="G59" s="164">
        <v>3638</v>
      </c>
      <c r="H59" s="165">
        <v>0.1</v>
      </c>
      <c r="I59" s="181" t="s">
        <v>296</v>
      </c>
      <c r="J59" s="172"/>
      <c r="K59" s="168"/>
      <c r="L59" s="173"/>
      <c r="M59" s="80"/>
      <c r="N59" s="80"/>
      <c r="O59" s="173"/>
      <c r="P59" s="177"/>
      <c r="Q59" s="168" t="s">
        <v>36</v>
      </c>
      <c r="R59" s="173"/>
      <c r="S59" s="80"/>
      <c r="T59" s="43"/>
      <c r="U59" s="174"/>
    </row>
    <row r="60" spans="1:21" s="24" customFormat="1" ht="153" customHeight="1" x14ac:dyDescent="0.25">
      <c r="A60" s="80"/>
      <c r="B60" s="46" t="s">
        <v>297</v>
      </c>
      <c r="C60" s="176" t="s">
        <v>149</v>
      </c>
      <c r="D60" s="80" t="s">
        <v>238</v>
      </c>
      <c r="E60" s="43" t="s">
        <v>298</v>
      </c>
      <c r="F60" s="34"/>
      <c r="G60" s="164">
        <v>3638</v>
      </c>
      <c r="H60" s="165">
        <v>0.1</v>
      </c>
      <c r="I60" s="171" t="s">
        <v>299</v>
      </c>
      <c r="J60" s="172"/>
      <c r="K60" s="168"/>
      <c r="L60" s="173"/>
      <c r="M60" s="80"/>
      <c r="N60" s="80"/>
      <c r="O60" s="173"/>
      <c r="P60" s="177"/>
      <c r="Q60" s="168" t="s">
        <v>36</v>
      </c>
      <c r="R60" s="173"/>
      <c r="S60" s="80"/>
      <c r="T60" s="43"/>
      <c r="U60" s="174"/>
    </row>
    <row r="61" spans="1:21" s="24" customFormat="1" ht="117" x14ac:dyDescent="0.25">
      <c r="A61" s="80"/>
      <c r="B61" s="46" t="s">
        <v>300</v>
      </c>
      <c r="C61" s="176" t="s">
        <v>154</v>
      </c>
      <c r="D61" s="80" t="s">
        <v>196</v>
      </c>
      <c r="E61" s="43" t="s">
        <v>301</v>
      </c>
      <c r="F61" s="34"/>
      <c r="G61" s="164">
        <v>3638</v>
      </c>
      <c r="H61" s="165">
        <v>0.1</v>
      </c>
      <c r="I61" s="181" t="s">
        <v>198</v>
      </c>
      <c r="J61" s="172"/>
      <c r="K61" s="168"/>
      <c r="L61" s="173"/>
      <c r="M61" s="80"/>
      <c r="N61" s="80"/>
      <c r="O61" s="173"/>
      <c r="P61" s="177"/>
      <c r="Q61" s="168" t="s">
        <v>36</v>
      </c>
      <c r="R61" s="173"/>
      <c r="S61" s="80"/>
      <c r="T61" s="43"/>
      <c r="U61" s="174"/>
    </row>
    <row r="62" spans="1:21" s="24" customFormat="1" ht="181.5" customHeight="1" x14ac:dyDescent="0.25">
      <c r="A62" s="80"/>
      <c r="B62" s="46" t="s">
        <v>302</v>
      </c>
      <c r="C62" s="176" t="s">
        <v>162</v>
      </c>
      <c r="D62" s="80" t="s">
        <v>163</v>
      </c>
      <c r="E62" s="43" t="s">
        <v>303</v>
      </c>
      <c r="F62" s="34">
        <v>-20217</v>
      </c>
      <c r="G62" s="164"/>
      <c r="H62" s="165"/>
      <c r="I62" s="171" t="s">
        <v>304</v>
      </c>
      <c r="J62" s="172"/>
      <c r="K62" s="168"/>
      <c r="L62" s="173"/>
      <c r="M62" s="80"/>
      <c r="N62" s="80"/>
      <c r="O62" s="173"/>
      <c r="P62" s="168" t="s">
        <v>36</v>
      </c>
      <c r="Q62" s="173"/>
      <c r="R62" s="173"/>
      <c r="S62" s="80"/>
      <c r="T62" s="43"/>
      <c r="U62" s="174"/>
    </row>
    <row r="63" spans="1:21" s="24" customFormat="1" ht="222" customHeight="1" x14ac:dyDescent="0.25">
      <c r="A63" s="80"/>
      <c r="B63" s="46" t="s">
        <v>305</v>
      </c>
      <c r="C63" s="176" t="s">
        <v>149</v>
      </c>
      <c r="D63" s="80" t="s">
        <v>238</v>
      </c>
      <c r="E63" s="43" t="s">
        <v>306</v>
      </c>
      <c r="F63" s="34">
        <v>-6000</v>
      </c>
      <c r="G63" s="164"/>
      <c r="H63" s="165"/>
      <c r="I63" s="171" t="s">
        <v>307</v>
      </c>
      <c r="J63" s="172"/>
      <c r="K63" s="168"/>
      <c r="L63" s="173"/>
      <c r="M63" s="80"/>
      <c r="N63" s="80"/>
      <c r="O63" s="173"/>
      <c r="P63" s="168" t="s">
        <v>36</v>
      </c>
      <c r="Q63" s="173"/>
      <c r="R63" s="173"/>
      <c r="S63" s="80"/>
      <c r="T63" s="43"/>
      <c r="U63" s="174"/>
    </row>
    <row r="64" spans="1:21" s="24" customFormat="1" ht="156" x14ac:dyDescent="0.25">
      <c r="A64" s="80"/>
      <c r="B64" s="46" t="s">
        <v>308</v>
      </c>
      <c r="C64" s="176" t="s">
        <v>154</v>
      </c>
      <c r="D64" s="80" t="s">
        <v>233</v>
      </c>
      <c r="E64" s="43" t="s">
        <v>309</v>
      </c>
      <c r="F64" s="34"/>
      <c r="G64" s="164">
        <v>4000</v>
      </c>
      <c r="H64" s="165"/>
      <c r="I64" s="171" t="s">
        <v>310</v>
      </c>
      <c r="J64" s="172"/>
      <c r="K64" s="168"/>
      <c r="L64" s="173"/>
      <c r="M64" s="80"/>
      <c r="N64" s="80"/>
      <c r="O64" s="173"/>
      <c r="P64" s="177"/>
      <c r="Q64" s="168" t="s">
        <v>36</v>
      </c>
      <c r="R64" s="173"/>
      <c r="S64" s="80"/>
      <c r="T64" s="43"/>
      <c r="U64" s="174"/>
    </row>
    <row r="65" spans="1:21" s="24" customFormat="1" ht="175.5" x14ac:dyDescent="0.25">
      <c r="A65" s="80"/>
      <c r="B65" s="46" t="s">
        <v>311</v>
      </c>
      <c r="C65" s="176" t="s">
        <v>149</v>
      </c>
      <c r="D65" s="80" t="s">
        <v>227</v>
      </c>
      <c r="E65" s="43" t="s">
        <v>312</v>
      </c>
      <c r="F65" s="34">
        <v>-4290</v>
      </c>
      <c r="G65" s="164"/>
      <c r="H65" s="165"/>
      <c r="I65" s="171" t="s">
        <v>313</v>
      </c>
      <c r="J65" s="172"/>
      <c r="K65" s="168"/>
      <c r="L65" s="173"/>
      <c r="M65" s="80"/>
      <c r="N65" s="80"/>
      <c r="O65" s="173"/>
      <c r="P65" s="168" t="s">
        <v>36</v>
      </c>
      <c r="Q65" s="173"/>
      <c r="R65" s="173"/>
      <c r="S65" s="80"/>
      <c r="T65" s="43"/>
      <c r="U65" s="174"/>
    </row>
    <row r="66" spans="1:21" s="24" customFormat="1" ht="195" x14ac:dyDescent="0.25">
      <c r="A66" s="80"/>
      <c r="B66" s="46" t="s">
        <v>314</v>
      </c>
      <c r="C66" s="176" t="s">
        <v>149</v>
      </c>
      <c r="D66" s="80" t="s">
        <v>206</v>
      </c>
      <c r="E66" s="43" t="s">
        <v>315</v>
      </c>
      <c r="F66" s="34">
        <v>-2145</v>
      </c>
      <c r="G66" s="164">
        <v>2145</v>
      </c>
      <c r="H66" s="165">
        <v>0.5</v>
      </c>
      <c r="I66" s="171" t="s">
        <v>316</v>
      </c>
      <c r="J66" s="172"/>
      <c r="K66" s="168"/>
      <c r="L66" s="173"/>
      <c r="M66" s="80"/>
      <c r="N66" s="80"/>
      <c r="O66" s="173"/>
      <c r="P66" s="177"/>
      <c r="Q66" s="173"/>
      <c r="R66" s="168" t="s">
        <v>36</v>
      </c>
      <c r="S66" s="80"/>
      <c r="T66" s="43"/>
      <c r="U66" s="174"/>
    </row>
    <row r="67" spans="1:21" s="24" customFormat="1" ht="214.5" x14ac:dyDescent="0.25">
      <c r="A67" s="80"/>
      <c r="B67" s="46" t="s">
        <v>317</v>
      </c>
      <c r="C67" s="176" t="s">
        <v>149</v>
      </c>
      <c r="D67" s="80" t="s">
        <v>192</v>
      </c>
      <c r="E67" s="43" t="s">
        <v>318</v>
      </c>
      <c r="F67" s="34">
        <v>-500</v>
      </c>
      <c r="G67" s="164"/>
      <c r="H67" s="165"/>
      <c r="I67" s="171" t="s">
        <v>319</v>
      </c>
      <c r="J67" s="172"/>
      <c r="K67" s="168"/>
      <c r="L67" s="173"/>
      <c r="M67" s="80"/>
      <c r="N67" s="80"/>
      <c r="O67" s="173"/>
      <c r="P67" s="168" t="s">
        <v>36</v>
      </c>
      <c r="Q67" s="173"/>
      <c r="R67" s="173"/>
      <c r="S67" s="80"/>
      <c r="T67" s="43"/>
      <c r="U67" s="174"/>
    </row>
    <row r="68" spans="1:21" s="24" customFormat="1" ht="214.5" x14ac:dyDescent="0.25">
      <c r="A68" s="80"/>
      <c r="B68" s="46" t="s">
        <v>320</v>
      </c>
      <c r="C68" s="176" t="s">
        <v>149</v>
      </c>
      <c r="D68" s="80" t="s">
        <v>206</v>
      </c>
      <c r="E68" s="43" t="s">
        <v>321</v>
      </c>
      <c r="F68" s="34"/>
      <c r="G68" s="164">
        <v>50</v>
      </c>
      <c r="H68" s="165">
        <v>0.1</v>
      </c>
      <c r="I68" s="171" t="s">
        <v>322</v>
      </c>
      <c r="J68" s="172"/>
      <c r="K68" s="168"/>
      <c r="L68" s="173"/>
      <c r="M68" s="80"/>
      <c r="N68" s="80"/>
      <c r="O68" s="173"/>
      <c r="P68" s="177"/>
      <c r="Q68" s="168" t="s">
        <v>36</v>
      </c>
      <c r="R68" s="173"/>
      <c r="S68" s="80"/>
      <c r="T68" s="43"/>
      <c r="U68" s="174"/>
    </row>
    <row r="69" spans="1:21" s="24" customFormat="1" ht="161.25" customHeight="1" x14ac:dyDescent="0.25">
      <c r="A69" s="80"/>
      <c r="B69" s="46" t="s">
        <v>323</v>
      </c>
      <c r="C69" s="176" t="s">
        <v>154</v>
      </c>
      <c r="D69" s="80" t="s">
        <v>155</v>
      </c>
      <c r="E69" s="43" t="s">
        <v>324</v>
      </c>
      <c r="F69" s="34">
        <v>-2646</v>
      </c>
      <c r="G69" s="164">
        <v>2646</v>
      </c>
      <c r="H69" s="165">
        <v>0.1</v>
      </c>
      <c r="I69" s="171" t="s">
        <v>325</v>
      </c>
      <c r="J69" s="172"/>
      <c r="K69" s="168"/>
      <c r="L69" s="173"/>
      <c r="M69" s="80"/>
      <c r="N69" s="80"/>
      <c r="O69" s="173"/>
      <c r="P69" s="177"/>
      <c r="Q69" s="173"/>
      <c r="R69" s="168" t="s">
        <v>36</v>
      </c>
      <c r="S69" s="80"/>
      <c r="T69" s="43"/>
      <c r="U69" s="174"/>
    </row>
    <row r="70" spans="1:21" s="24" customFormat="1" ht="214.5" x14ac:dyDescent="0.25">
      <c r="A70" s="80"/>
      <c r="B70" s="46" t="s">
        <v>326</v>
      </c>
      <c r="C70" s="176" t="s">
        <v>149</v>
      </c>
      <c r="D70" s="80" t="s">
        <v>192</v>
      </c>
      <c r="E70" s="43" t="s">
        <v>327</v>
      </c>
      <c r="F70" s="34">
        <v>-1600</v>
      </c>
      <c r="G70" s="164">
        <v>7937</v>
      </c>
      <c r="H70" s="165">
        <v>0.3</v>
      </c>
      <c r="I70" s="171" t="s">
        <v>328</v>
      </c>
      <c r="J70" s="172"/>
      <c r="K70" s="168"/>
      <c r="L70" s="173"/>
      <c r="M70" s="80"/>
      <c r="N70" s="80"/>
      <c r="O70" s="173"/>
      <c r="P70" s="177"/>
      <c r="Q70" s="173"/>
      <c r="R70" s="168" t="s">
        <v>36</v>
      </c>
      <c r="S70" s="80"/>
      <c r="T70" s="43"/>
      <c r="U70" s="174"/>
    </row>
    <row r="71" spans="1:21" s="24" customFormat="1" ht="78" x14ac:dyDescent="0.25">
      <c r="A71" s="80"/>
      <c r="B71" s="46" t="s">
        <v>329</v>
      </c>
      <c r="C71" s="176" t="s">
        <v>154</v>
      </c>
      <c r="D71" s="80" t="s">
        <v>196</v>
      </c>
      <c r="E71" s="43" t="s">
        <v>330</v>
      </c>
      <c r="F71" s="34"/>
      <c r="G71" s="164">
        <v>2646</v>
      </c>
      <c r="H71" s="165">
        <v>0.1</v>
      </c>
      <c r="I71" s="181" t="s">
        <v>198</v>
      </c>
      <c r="J71" s="172"/>
      <c r="K71" s="168"/>
      <c r="L71" s="173"/>
      <c r="M71" s="80"/>
      <c r="N71" s="80"/>
      <c r="O71" s="173"/>
      <c r="P71" s="177"/>
      <c r="Q71" s="168" t="s">
        <v>36</v>
      </c>
      <c r="R71" s="173"/>
      <c r="S71" s="80"/>
      <c r="T71" s="43"/>
      <c r="U71" s="174"/>
    </row>
    <row r="72" spans="1:21" s="24" customFormat="1" ht="175.5" x14ac:dyDescent="0.25">
      <c r="A72" s="80"/>
      <c r="B72" s="46" t="s">
        <v>331</v>
      </c>
      <c r="C72" s="176" t="s">
        <v>149</v>
      </c>
      <c r="D72" s="80" t="s">
        <v>192</v>
      </c>
      <c r="E72" s="43" t="s">
        <v>332</v>
      </c>
      <c r="F72" s="34">
        <v>-16000</v>
      </c>
      <c r="G72" s="164">
        <v>7768</v>
      </c>
      <c r="H72" s="165">
        <v>0.3</v>
      </c>
      <c r="I72" s="171" t="s">
        <v>333</v>
      </c>
      <c r="J72" s="172"/>
      <c r="K72" s="168"/>
      <c r="L72" s="173"/>
      <c r="M72" s="80"/>
      <c r="N72" s="80"/>
      <c r="O72" s="173"/>
      <c r="P72" s="177"/>
      <c r="Q72" s="173"/>
      <c r="R72" s="168" t="s">
        <v>36</v>
      </c>
      <c r="S72" s="80"/>
      <c r="T72" s="43"/>
      <c r="U72" s="174"/>
    </row>
    <row r="73" spans="1:21" s="24" customFormat="1" ht="78" x14ac:dyDescent="0.25">
      <c r="A73" s="80"/>
      <c r="B73" s="46" t="s">
        <v>334</v>
      </c>
      <c r="C73" s="176" t="s">
        <v>154</v>
      </c>
      <c r="D73" s="80" t="s">
        <v>167</v>
      </c>
      <c r="E73" s="43" t="s">
        <v>335</v>
      </c>
      <c r="F73" s="34"/>
      <c r="G73" s="164">
        <v>2589</v>
      </c>
      <c r="H73" s="165">
        <v>0.1</v>
      </c>
      <c r="I73" s="181" t="s">
        <v>198</v>
      </c>
      <c r="J73" s="172"/>
      <c r="K73" s="168"/>
      <c r="L73" s="173"/>
      <c r="M73" s="80"/>
      <c r="N73" s="80"/>
      <c r="O73" s="173"/>
      <c r="P73" s="177"/>
      <c r="Q73" s="168" t="s">
        <v>36</v>
      </c>
      <c r="R73" s="173"/>
      <c r="S73" s="80"/>
      <c r="T73" s="43"/>
      <c r="U73" s="174"/>
    </row>
    <row r="74" spans="1:21" s="24" customFormat="1" ht="132.75" customHeight="1" x14ac:dyDescent="0.25">
      <c r="A74" s="80"/>
      <c r="B74" s="46" t="s">
        <v>336</v>
      </c>
      <c r="C74" s="176" t="s">
        <v>162</v>
      </c>
      <c r="D74" s="80" t="s">
        <v>163</v>
      </c>
      <c r="E74" s="43" t="s">
        <v>337</v>
      </c>
      <c r="F74" s="34">
        <v>-12600</v>
      </c>
      <c r="G74" s="164"/>
      <c r="H74" s="165"/>
      <c r="I74" s="171" t="s">
        <v>338</v>
      </c>
      <c r="J74" s="172"/>
      <c r="K74" s="168"/>
      <c r="L74" s="173"/>
      <c r="M74" s="80"/>
      <c r="N74" s="80"/>
      <c r="O74" s="173"/>
      <c r="P74" s="168" t="s">
        <v>36</v>
      </c>
      <c r="Q74" s="173"/>
      <c r="R74" s="173"/>
      <c r="S74" s="80"/>
      <c r="T74" s="43"/>
      <c r="U74" s="174"/>
    </row>
    <row r="75" spans="1:21" s="24" customFormat="1" ht="214.5" x14ac:dyDescent="0.25">
      <c r="A75" s="80"/>
      <c r="B75" s="46" t="s">
        <v>339</v>
      </c>
      <c r="C75" s="176" t="s">
        <v>149</v>
      </c>
      <c r="D75" s="80" t="s">
        <v>192</v>
      </c>
      <c r="E75" s="43" t="s">
        <v>340</v>
      </c>
      <c r="F75" s="34">
        <v>-14000</v>
      </c>
      <c r="G75" s="164">
        <v>6596</v>
      </c>
      <c r="H75" s="165">
        <v>0.3</v>
      </c>
      <c r="I75" s="171" t="s">
        <v>341</v>
      </c>
      <c r="J75" s="172"/>
      <c r="K75" s="168"/>
      <c r="L75" s="173"/>
      <c r="M75" s="80"/>
      <c r="N75" s="80"/>
      <c r="O75" s="173"/>
      <c r="P75" s="177"/>
      <c r="Q75" s="173"/>
      <c r="R75" s="168" t="s">
        <v>36</v>
      </c>
      <c r="S75" s="80"/>
      <c r="T75" s="43"/>
      <c r="U75" s="174"/>
    </row>
    <row r="76" spans="1:21" s="24" customFormat="1" ht="195" x14ac:dyDescent="0.25">
      <c r="A76" s="80"/>
      <c r="B76" s="46" t="s">
        <v>342</v>
      </c>
      <c r="C76" s="176" t="s">
        <v>149</v>
      </c>
      <c r="D76" s="80" t="s">
        <v>227</v>
      </c>
      <c r="E76" s="43" t="s">
        <v>343</v>
      </c>
      <c r="F76" s="34">
        <v>-700</v>
      </c>
      <c r="G76" s="164"/>
      <c r="H76" s="165"/>
      <c r="I76" s="171" t="s">
        <v>344</v>
      </c>
      <c r="J76" s="172"/>
      <c r="K76" s="168"/>
      <c r="L76" s="173"/>
      <c r="M76" s="80"/>
      <c r="N76" s="80"/>
      <c r="O76" s="173"/>
      <c r="P76" s="168" t="s">
        <v>36</v>
      </c>
      <c r="Q76" s="173"/>
      <c r="R76" s="173"/>
      <c r="S76" s="80"/>
      <c r="T76" s="43"/>
      <c r="U76" s="174"/>
    </row>
    <row r="77" spans="1:21" s="24" customFormat="1" ht="117" x14ac:dyDescent="0.25">
      <c r="A77" s="80"/>
      <c r="B77" s="46" t="s">
        <v>345</v>
      </c>
      <c r="C77" s="176" t="s">
        <v>149</v>
      </c>
      <c r="D77" s="80" t="s">
        <v>192</v>
      </c>
      <c r="E77" s="43" t="s">
        <v>346</v>
      </c>
      <c r="F77" s="34">
        <v>-700</v>
      </c>
      <c r="G77" s="164"/>
      <c r="H77" s="165"/>
      <c r="I77" s="171" t="s">
        <v>347</v>
      </c>
      <c r="J77" s="172"/>
      <c r="K77" s="168"/>
      <c r="L77" s="173"/>
      <c r="M77" s="80"/>
      <c r="N77" s="80"/>
      <c r="O77" s="173"/>
      <c r="P77" s="168" t="s">
        <v>36</v>
      </c>
      <c r="Q77" s="173"/>
      <c r="R77" s="173"/>
      <c r="S77" s="80"/>
      <c r="T77" s="43"/>
      <c r="U77" s="174"/>
    </row>
    <row r="78" spans="1:21" s="24" customFormat="1" ht="117" x14ac:dyDescent="0.25">
      <c r="A78" s="80"/>
      <c r="B78" s="46" t="s">
        <v>348</v>
      </c>
      <c r="C78" s="176" t="s">
        <v>149</v>
      </c>
      <c r="D78" s="80" t="s">
        <v>206</v>
      </c>
      <c r="E78" s="43" t="s">
        <v>349</v>
      </c>
      <c r="F78" s="34"/>
      <c r="G78" s="164">
        <v>140</v>
      </c>
      <c r="H78" s="165">
        <v>0.2</v>
      </c>
      <c r="I78" s="171" t="s">
        <v>350</v>
      </c>
      <c r="J78" s="172"/>
      <c r="K78" s="168"/>
      <c r="L78" s="173"/>
      <c r="M78" s="80"/>
      <c r="N78" s="80"/>
      <c r="O78" s="173"/>
      <c r="P78" s="177"/>
      <c r="Q78" s="168" t="s">
        <v>36</v>
      </c>
      <c r="R78" s="173"/>
      <c r="S78" s="80"/>
      <c r="T78" s="43"/>
      <c r="U78" s="174"/>
    </row>
    <row r="79" spans="1:21" s="24" customFormat="1" ht="156.75" customHeight="1" x14ac:dyDescent="0.25">
      <c r="A79" s="80"/>
      <c r="B79" s="46" t="s">
        <v>351</v>
      </c>
      <c r="C79" s="176" t="s">
        <v>149</v>
      </c>
      <c r="D79" s="80" t="s">
        <v>192</v>
      </c>
      <c r="E79" s="43" t="s">
        <v>352</v>
      </c>
      <c r="F79" s="34">
        <v>-2000</v>
      </c>
      <c r="G79" s="164"/>
      <c r="H79" s="165"/>
      <c r="I79" s="171" t="s">
        <v>353</v>
      </c>
      <c r="J79" s="172"/>
      <c r="K79" s="168"/>
      <c r="L79" s="173"/>
      <c r="M79" s="80"/>
      <c r="N79" s="80"/>
      <c r="O79" s="173"/>
      <c r="P79" s="168" t="s">
        <v>36</v>
      </c>
      <c r="Q79" s="173"/>
      <c r="R79" s="173"/>
      <c r="S79" s="80"/>
      <c r="T79" s="43"/>
      <c r="U79" s="174"/>
    </row>
    <row r="80" spans="1:21" s="24" customFormat="1" ht="117" x14ac:dyDescent="0.25">
      <c r="A80" s="80"/>
      <c r="B80" s="46" t="s">
        <v>354</v>
      </c>
      <c r="C80" s="176" t="s">
        <v>149</v>
      </c>
      <c r="D80" s="80" t="s">
        <v>206</v>
      </c>
      <c r="E80" s="43" t="s">
        <v>355</v>
      </c>
      <c r="F80" s="34"/>
      <c r="G80" s="164">
        <v>1431</v>
      </c>
      <c r="H80" s="165">
        <v>0.5</v>
      </c>
      <c r="I80" s="171" t="s">
        <v>356</v>
      </c>
      <c r="J80" s="172"/>
      <c r="K80" s="168"/>
      <c r="L80" s="173"/>
      <c r="M80" s="80"/>
      <c r="N80" s="80"/>
      <c r="O80" s="173"/>
      <c r="P80" s="177"/>
      <c r="Q80" s="168" t="s">
        <v>36</v>
      </c>
      <c r="R80" s="173"/>
      <c r="S80" s="80"/>
      <c r="T80" s="43"/>
      <c r="U80" s="174"/>
    </row>
    <row r="81" spans="1:21" s="24" customFormat="1" ht="195" x14ac:dyDescent="0.25">
      <c r="A81" s="80"/>
      <c r="B81" s="46" t="s">
        <v>357</v>
      </c>
      <c r="C81" s="176" t="s">
        <v>162</v>
      </c>
      <c r="D81" s="80" t="s">
        <v>163</v>
      </c>
      <c r="E81" s="43" t="s">
        <v>358</v>
      </c>
      <c r="F81" s="34">
        <v>-3545</v>
      </c>
      <c r="G81" s="164"/>
      <c r="H81" s="165"/>
      <c r="I81" s="171" t="s">
        <v>359</v>
      </c>
      <c r="J81" s="172"/>
      <c r="K81" s="168"/>
      <c r="L81" s="173"/>
      <c r="M81" s="80"/>
      <c r="N81" s="80"/>
      <c r="O81" s="173"/>
      <c r="P81" s="168" t="s">
        <v>36</v>
      </c>
      <c r="Q81" s="173"/>
      <c r="R81" s="173"/>
      <c r="S81" s="80"/>
      <c r="T81" s="43"/>
      <c r="U81" s="174"/>
    </row>
    <row r="82" spans="1:21" s="24" customFormat="1" ht="137.25" customHeight="1" x14ac:dyDescent="0.25">
      <c r="A82" s="80"/>
      <c r="B82" s="46" t="s">
        <v>360</v>
      </c>
      <c r="C82" s="176" t="s">
        <v>154</v>
      </c>
      <c r="D82" s="80" t="s">
        <v>196</v>
      </c>
      <c r="E82" s="43" t="s">
        <v>361</v>
      </c>
      <c r="F82" s="34"/>
      <c r="G82" s="164">
        <v>355</v>
      </c>
      <c r="H82" s="165">
        <v>0.1</v>
      </c>
      <c r="I82" s="181" t="s">
        <v>198</v>
      </c>
      <c r="J82" s="172"/>
      <c r="K82" s="168"/>
      <c r="L82" s="173"/>
      <c r="M82" s="80"/>
      <c r="N82" s="80"/>
      <c r="O82" s="173"/>
      <c r="P82" s="177"/>
      <c r="Q82" s="168" t="s">
        <v>36</v>
      </c>
      <c r="R82" s="173"/>
      <c r="S82" s="80"/>
      <c r="T82" s="43"/>
      <c r="U82" s="174"/>
    </row>
    <row r="83" spans="1:21" s="24" customFormat="1" ht="97.5" x14ac:dyDescent="0.25">
      <c r="A83" s="80"/>
      <c r="B83" s="46" t="s">
        <v>362</v>
      </c>
      <c r="C83" s="176" t="s">
        <v>154</v>
      </c>
      <c r="D83" s="80" t="s">
        <v>155</v>
      </c>
      <c r="E83" s="43" t="s">
        <v>363</v>
      </c>
      <c r="F83" s="34"/>
      <c r="G83" s="164">
        <v>355</v>
      </c>
      <c r="H83" s="165">
        <v>0.1</v>
      </c>
      <c r="I83" s="181" t="s">
        <v>198</v>
      </c>
      <c r="J83" s="172"/>
      <c r="K83" s="168"/>
      <c r="L83" s="173"/>
      <c r="M83" s="80"/>
      <c r="N83" s="80"/>
      <c r="O83" s="173"/>
      <c r="P83" s="177"/>
      <c r="Q83" s="168" t="s">
        <v>36</v>
      </c>
      <c r="R83" s="173"/>
      <c r="S83" s="80"/>
      <c r="T83" s="43"/>
      <c r="U83" s="174"/>
    </row>
    <row r="84" spans="1:21" s="24" customFormat="1" ht="175.5" x14ac:dyDescent="0.25">
      <c r="A84" s="80"/>
      <c r="B84" s="46" t="s">
        <v>364</v>
      </c>
      <c r="C84" s="176" t="s">
        <v>149</v>
      </c>
      <c r="D84" s="80" t="s">
        <v>192</v>
      </c>
      <c r="E84" s="43" t="s">
        <v>365</v>
      </c>
      <c r="F84" s="34">
        <v>-1600</v>
      </c>
      <c r="G84" s="164">
        <v>812</v>
      </c>
      <c r="H84" s="165">
        <v>0.3</v>
      </c>
      <c r="I84" s="171" t="s">
        <v>366</v>
      </c>
      <c r="J84" s="172"/>
      <c r="K84" s="168"/>
      <c r="L84" s="173"/>
      <c r="M84" s="80"/>
      <c r="N84" s="80"/>
      <c r="O84" s="173"/>
      <c r="P84" s="177"/>
      <c r="Q84" s="173"/>
      <c r="R84" s="168" t="s">
        <v>36</v>
      </c>
      <c r="S84" s="80"/>
      <c r="T84" s="43"/>
      <c r="U84" s="174"/>
    </row>
    <row r="85" spans="1:21" s="24" customFormat="1" ht="175.5" x14ac:dyDescent="0.25">
      <c r="A85" s="80"/>
      <c r="B85" s="46" t="s">
        <v>367</v>
      </c>
      <c r="C85" s="176" t="s">
        <v>149</v>
      </c>
      <c r="D85" s="80" t="s">
        <v>227</v>
      </c>
      <c r="E85" s="43" t="s">
        <v>368</v>
      </c>
      <c r="F85" s="34">
        <v>-700</v>
      </c>
      <c r="G85" s="164"/>
      <c r="H85" s="165"/>
      <c r="I85" s="171" t="s">
        <v>369</v>
      </c>
      <c r="J85" s="172"/>
      <c r="K85" s="168"/>
      <c r="L85" s="173"/>
      <c r="M85" s="80"/>
      <c r="N85" s="80"/>
      <c r="O85" s="173"/>
      <c r="P85" s="168" t="s">
        <v>36</v>
      </c>
      <c r="Q85" s="173"/>
      <c r="R85" s="173"/>
      <c r="S85" s="80"/>
      <c r="T85" s="43"/>
      <c r="U85" s="174"/>
    </row>
    <row r="86" spans="1:21" s="24" customFormat="1" ht="117" x14ac:dyDescent="0.25">
      <c r="A86" s="80"/>
      <c r="B86" s="46" t="s">
        <v>370</v>
      </c>
      <c r="C86" s="176" t="s">
        <v>149</v>
      </c>
      <c r="D86" s="80" t="s">
        <v>227</v>
      </c>
      <c r="E86" s="43" t="s">
        <v>371</v>
      </c>
      <c r="F86" s="34">
        <v>-2520</v>
      </c>
      <c r="G86" s="164"/>
      <c r="H86" s="165"/>
      <c r="I86" s="171" t="s">
        <v>372</v>
      </c>
      <c r="J86" s="172"/>
      <c r="K86" s="168"/>
      <c r="L86" s="173"/>
      <c r="M86" s="80"/>
      <c r="N86" s="80"/>
      <c r="O86" s="173"/>
      <c r="P86" s="168" t="s">
        <v>36</v>
      </c>
      <c r="Q86" s="173"/>
      <c r="R86" s="173"/>
      <c r="S86" s="80"/>
      <c r="T86" s="43"/>
      <c r="U86" s="174"/>
    </row>
    <row r="87" spans="1:21" s="24" customFormat="1" ht="117" x14ac:dyDescent="0.25">
      <c r="A87" s="80"/>
      <c r="B87" s="46" t="s">
        <v>373</v>
      </c>
      <c r="C87" s="176" t="s">
        <v>149</v>
      </c>
      <c r="D87" s="80" t="s">
        <v>192</v>
      </c>
      <c r="E87" s="43" t="s">
        <v>374</v>
      </c>
      <c r="F87" s="34">
        <v>-2520</v>
      </c>
      <c r="G87" s="164"/>
      <c r="H87" s="165"/>
      <c r="I87" s="171" t="s">
        <v>375</v>
      </c>
      <c r="J87" s="172"/>
      <c r="K87" s="168"/>
      <c r="L87" s="173"/>
      <c r="M87" s="80"/>
      <c r="N87" s="80"/>
      <c r="O87" s="173"/>
      <c r="P87" s="168" t="s">
        <v>36</v>
      </c>
      <c r="Q87" s="173"/>
      <c r="R87" s="173"/>
      <c r="S87" s="80"/>
      <c r="T87" s="43"/>
      <c r="U87" s="174"/>
    </row>
    <row r="88" spans="1:21" s="24" customFormat="1" ht="195" x14ac:dyDescent="0.25">
      <c r="A88" s="80"/>
      <c r="B88" s="46" t="s">
        <v>376</v>
      </c>
      <c r="C88" s="176" t="s">
        <v>149</v>
      </c>
      <c r="D88" s="80" t="s">
        <v>192</v>
      </c>
      <c r="E88" s="43" t="s">
        <v>377</v>
      </c>
      <c r="F88" s="34">
        <v>-900</v>
      </c>
      <c r="G88" s="164"/>
      <c r="H88" s="165"/>
      <c r="I88" s="171" t="s">
        <v>378</v>
      </c>
      <c r="J88" s="172"/>
      <c r="K88" s="168"/>
      <c r="L88" s="173"/>
      <c r="M88" s="80"/>
      <c r="N88" s="80"/>
      <c r="O88" s="173"/>
      <c r="P88" s="168" t="s">
        <v>36</v>
      </c>
      <c r="Q88" s="173"/>
      <c r="R88" s="173"/>
      <c r="S88" s="80"/>
      <c r="T88" s="43"/>
      <c r="U88" s="174"/>
    </row>
    <row r="89" spans="1:21" s="24" customFormat="1" ht="117" x14ac:dyDescent="0.25">
      <c r="A89" s="80"/>
      <c r="B89" s="46" t="s">
        <v>379</v>
      </c>
      <c r="C89" s="176" t="s">
        <v>154</v>
      </c>
      <c r="D89" s="80" t="s">
        <v>155</v>
      </c>
      <c r="E89" s="43" t="s">
        <v>380</v>
      </c>
      <c r="F89" s="34"/>
      <c r="G89" s="164"/>
      <c r="H89" s="165"/>
      <c r="I89" s="182" t="s">
        <v>198</v>
      </c>
      <c r="J89" s="172"/>
      <c r="K89" s="168"/>
      <c r="L89" s="173"/>
      <c r="M89" s="80"/>
      <c r="N89" s="80"/>
      <c r="O89" s="173"/>
      <c r="P89" s="177"/>
      <c r="Q89" s="173"/>
      <c r="R89" s="173"/>
      <c r="S89" s="168" t="s">
        <v>36</v>
      </c>
      <c r="T89" s="43"/>
      <c r="U89" s="174"/>
    </row>
    <row r="90" spans="1:21" s="24" customFormat="1" ht="19.5" x14ac:dyDescent="0.25">
      <c r="A90" s="183" t="s">
        <v>381</v>
      </c>
      <c r="B90" s="184"/>
      <c r="C90" s="184"/>
      <c r="D90" s="185"/>
      <c r="E90" s="73"/>
      <c r="F90" s="90" t="s">
        <v>382</v>
      </c>
      <c r="G90" s="91"/>
      <c r="H90" s="92"/>
      <c r="I90" s="27"/>
      <c r="J90" s="29"/>
      <c r="K90" s="18">
        <f t="shared" ref="K90:S90" si="5">COUNTIF(K91:K114,"v")</f>
        <v>0</v>
      </c>
      <c r="L90" s="18">
        <f t="shared" si="5"/>
        <v>0</v>
      </c>
      <c r="M90" s="18">
        <f t="shared" si="5"/>
        <v>0</v>
      </c>
      <c r="N90" s="18">
        <f t="shared" si="5"/>
        <v>0</v>
      </c>
      <c r="O90" s="18">
        <f t="shared" si="5"/>
        <v>0</v>
      </c>
      <c r="P90" s="186">
        <f t="shared" si="5"/>
        <v>7</v>
      </c>
      <c r="Q90" s="186">
        <f t="shared" si="5"/>
        <v>6</v>
      </c>
      <c r="R90" s="186">
        <f t="shared" si="5"/>
        <v>4</v>
      </c>
      <c r="S90" s="186">
        <f t="shared" si="5"/>
        <v>7</v>
      </c>
      <c r="T90" s="25"/>
      <c r="U90" s="18"/>
    </row>
    <row r="91" spans="1:21" ht="223.5" customHeight="1" x14ac:dyDescent="0.25">
      <c r="A91" s="46"/>
      <c r="B91" s="46" t="s">
        <v>148</v>
      </c>
      <c r="C91" s="46" t="s">
        <v>154</v>
      </c>
      <c r="D91" s="80" t="s">
        <v>219</v>
      </c>
      <c r="E91" s="43" t="s">
        <v>383</v>
      </c>
      <c r="F91" s="34"/>
      <c r="G91" s="164">
        <v>28658</v>
      </c>
      <c r="H91" s="165">
        <v>0.15</v>
      </c>
      <c r="I91" s="187" t="s">
        <v>384</v>
      </c>
      <c r="J91" s="172"/>
      <c r="K91" s="188"/>
      <c r="L91" s="173"/>
      <c r="M91" s="80"/>
      <c r="N91" s="80"/>
      <c r="O91" s="173"/>
      <c r="P91" s="177"/>
      <c r="Q91" s="173" t="s">
        <v>36</v>
      </c>
      <c r="R91" s="173"/>
      <c r="S91" s="80"/>
      <c r="T91" s="43"/>
      <c r="U91" s="174"/>
    </row>
    <row r="92" spans="1:21" s="24" customFormat="1" ht="228.75" customHeight="1" x14ac:dyDescent="0.25">
      <c r="A92" s="46"/>
      <c r="B92" s="46" t="s">
        <v>153</v>
      </c>
      <c r="C92" s="46" t="s">
        <v>162</v>
      </c>
      <c r="D92" s="80" t="s">
        <v>163</v>
      </c>
      <c r="E92" s="43" t="s">
        <v>385</v>
      </c>
      <c r="F92" s="34"/>
      <c r="G92" s="164">
        <v>109175</v>
      </c>
      <c r="H92" s="165">
        <v>1</v>
      </c>
      <c r="I92" s="187" t="s">
        <v>386</v>
      </c>
      <c r="J92" s="172"/>
      <c r="K92" s="168"/>
      <c r="L92" s="173"/>
      <c r="M92" s="80"/>
      <c r="N92" s="80"/>
      <c r="O92" s="173"/>
      <c r="P92" s="177"/>
      <c r="Q92" s="173" t="s">
        <v>36</v>
      </c>
      <c r="R92" s="173"/>
      <c r="S92" s="80"/>
      <c r="T92" s="43"/>
      <c r="U92" s="174"/>
    </row>
    <row r="93" spans="1:21" s="24" customFormat="1" ht="248.25" customHeight="1" x14ac:dyDescent="0.25">
      <c r="A93" s="46"/>
      <c r="B93" s="46" t="s">
        <v>158</v>
      </c>
      <c r="C93" s="46" t="s">
        <v>149</v>
      </c>
      <c r="D93" s="80" t="s">
        <v>249</v>
      </c>
      <c r="E93" s="43" t="s">
        <v>387</v>
      </c>
      <c r="F93" s="34">
        <v>-6000</v>
      </c>
      <c r="G93" s="164"/>
      <c r="H93" s="165"/>
      <c r="I93" s="187" t="s">
        <v>388</v>
      </c>
      <c r="J93" s="172"/>
      <c r="K93" s="168"/>
      <c r="L93" s="173"/>
      <c r="M93" s="80"/>
      <c r="N93" s="80"/>
      <c r="O93" s="173"/>
      <c r="P93" s="177" t="s">
        <v>36</v>
      </c>
      <c r="Q93" s="173"/>
      <c r="R93" s="173"/>
      <c r="S93" s="80"/>
      <c r="T93" s="43"/>
      <c r="U93" s="174"/>
    </row>
    <row r="94" spans="1:21" ht="166.5" customHeight="1" x14ac:dyDescent="0.25">
      <c r="A94" s="46"/>
      <c r="B94" s="46" t="s">
        <v>161</v>
      </c>
      <c r="C94" s="46" t="s">
        <v>149</v>
      </c>
      <c r="D94" s="80" t="s">
        <v>192</v>
      </c>
      <c r="E94" s="43" t="s">
        <v>389</v>
      </c>
      <c r="F94" s="34">
        <v>-48000</v>
      </c>
      <c r="G94" s="164">
        <v>23666</v>
      </c>
      <c r="H94" s="165">
        <v>0.3</v>
      </c>
      <c r="I94" s="187" t="s">
        <v>390</v>
      </c>
      <c r="J94" s="172"/>
      <c r="K94" s="168"/>
      <c r="L94" s="173"/>
      <c r="M94" s="80"/>
      <c r="N94" s="80"/>
      <c r="O94" s="173"/>
      <c r="P94" s="177"/>
      <c r="Q94" s="173"/>
      <c r="R94" s="173" t="s">
        <v>36</v>
      </c>
      <c r="S94" s="80"/>
      <c r="T94" s="43"/>
      <c r="U94" s="174"/>
    </row>
    <row r="95" spans="1:21" ht="135" customHeight="1" x14ac:dyDescent="0.25">
      <c r="A95" s="46"/>
      <c r="B95" s="46" t="s">
        <v>166</v>
      </c>
      <c r="C95" s="46" t="s">
        <v>154</v>
      </c>
      <c r="D95" s="80" t="s">
        <v>155</v>
      </c>
      <c r="E95" s="43" t="s">
        <v>391</v>
      </c>
      <c r="F95" s="34"/>
      <c r="G95" s="164">
        <v>7889</v>
      </c>
      <c r="H95" s="165">
        <v>0.1</v>
      </c>
      <c r="I95" s="182" t="s">
        <v>392</v>
      </c>
      <c r="J95" s="172"/>
      <c r="K95" s="188"/>
      <c r="L95" s="173"/>
      <c r="M95" s="80"/>
      <c r="N95" s="80"/>
      <c r="O95" s="173"/>
      <c r="P95" s="177"/>
      <c r="Q95" s="168" t="s">
        <v>52</v>
      </c>
      <c r="R95" s="173"/>
      <c r="S95" s="80"/>
      <c r="T95" s="43"/>
      <c r="U95" s="174"/>
    </row>
    <row r="96" spans="1:21" s="24" customFormat="1" ht="181.5" customHeight="1" x14ac:dyDescent="0.25">
      <c r="A96" s="46"/>
      <c r="B96" s="46" t="s">
        <v>170</v>
      </c>
      <c r="C96" s="46" t="s">
        <v>154</v>
      </c>
      <c r="D96" s="80" t="s">
        <v>196</v>
      </c>
      <c r="E96" s="43" t="s">
        <v>393</v>
      </c>
      <c r="F96" s="34"/>
      <c r="G96" s="164">
        <v>5000</v>
      </c>
      <c r="H96" s="165"/>
      <c r="I96" s="182" t="s">
        <v>392</v>
      </c>
      <c r="J96" s="172"/>
      <c r="K96" s="188"/>
      <c r="L96" s="173"/>
      <c r="M96" s="80"/>
      <c r="N96" s="80"/>
      <c r="O96" s="173"/>
      <c r="P96" s="177"/>
      <c r="Q96" s="168" t="s">
        <v>52</v>
      </c>
      <c r="R96" s="173"/>
      <c r="S96" s="80"/>
      <c r="T96" s="43"/>
      <c r="U96" s="174"/>
    </row>
    <row r="97" spans="1:21" s="24" customFormat="1" ht="244.5" customHeight="1" x14ac:dyDescent="0.25">
      <c r="A97" s="46"/>
      <c r="B97" s="46" t="s">
        <v>173</v>
      </c>
      <c r="C97" s="46" t="s">
        <v>162</v>
      </c>
      <c r="D97" s="80" t="s">
        <v>163</v>
      </c>
      <c r="E97" s="43" t="s">
        <v>394</v>
      </c>
      <c r="F97" s="34">
        <v>-192</v>
      </c>
      <c r="G97" s="164"/>
      <c r="H97" s="165"/>
      <c r="I97" s="187" t="s">
        <v>395</v>
      </c>
      <c r="J97" s="172"/>
      <c r="K97" s="168"/>
      <c r="L97" s="173"/>
      <c r="M97" s="80"/>
      <c r="N97" s="80"/>
      <c r="O97" s="173"/>
      <c r="P97" s="177" t="s">
        <v>36</v>
      </c>
      <c r="Q97" s="173"/>
      <c r="R97" s="173"/>
      <c r="S97" s="80"/>
      <c r="T97" s="43"/>
      <c r="U97" s="174"/>
    </row>
    <row r="98" spans="1:21" ht="164.25" customHeight="1" x14ac:dyDescent="0.25">
      <c r="A98" s="46"/>
      <c r="B98" s="46" t="s">
        <v>176</v>
      </c>
      <c r="C98" s="46" t="s">
        <v>162</v>
      </c>
      <c r="D98" s="80" t="s">
        <v>163</v>
      </c>
      <c r="E98" s="43" t="s">
        <v>396</v>
      </c>
      <c r="F98" s="34">
        <v>-1000</v>
      </c>
      <c r="G98" s="164"/>
      <c r="H98" s="165"/>
      <c r="I98" s="187" t="s">
        <v>397</v>
      </c>
      <c r="J98" s="172"/>
      <c r="K98" s="168"/>
      <c r="L98" s="173"/>
      <c r="M98" s="80"/>
      <c r="N98" s="80"/>
      <c r="O98" s="173"/>
      <c r="P98" s="177" t="s">
        <v>36</v>
      </c>
      <c r="Q98" s="173"/>
      <c r="R98" s="173"/>
      <c r="S98" s="80"/>
      <c r="T98" s="43"/>
      <c r="U98" s="174"/>
    </row>
    <row r="99" spans="1:21" ht="201.75" customHeight="1" x14ac:dyDescent="0.25">
      <c r="A99" s="46"/>
      <c r="B99" s="46" t="s">
        <v>179</v>
      </c>
      <c r="C99" s="46" t="s">
        <v>149</v>
      </c>
      <c r="D99" s="80" t="s">
        <v>242</v>
      </c>
      <c r="E99" s="43" t="s">
        <v>398</v>
      </c>
      <c r="F99" s="34">
        <v>-1879</v>
      </c>
      <c r="G99" s="164"/>
      <c r="H99" s="165"/>
      <c r="I99" s="187" t="s">
        <v>399</v>
      </c>
      <c r="J99" s="172"/>
      <c r="K99" s="168"/>
      <c r="L99" s="173"/>
      <c r="M99" s="80"/>
      <c r="N99" s="80"/>
      <c r="O99" s="173"/>
      <c r="P99" s="177" t="s">
        <v>36</v>
      </c>
      <c r="Q99" s="173"/>
      <c r="R99" s="173"/>
      <c r="S99" s="80"/>
      <c r="T99" s="43"/>
      <c r="U99" s="174"/>
    </row>
    <row r="100" spans="1:21" ht="180.75" customHeight="1" x14ac:dyDescent="0.25">
      <c r="A100" s="46"/>
      <c r="B100" s="46" t="s">
        <v>182</v>
      </c>
      <c r="C100" s="46" t="s">
        <v>162</v>
      </c>
      <c r="D100" s="80" t="s">
        <v>163</v>
      </c>
      <c r="E100" s="43" t="s">
        <v>400</v>
      </c>
      <c r="F100" s="34">
        <v>-30000</v>
      </c>
      <c r="G100" s="164">
        <v>23184</v>
      </c>
      <c r="H100" s="165">
        <v>0.3</v>
      </c>
      <c r="I100" s="187" t="s">
        <v>401</v>
      </c>
      <c r="J100" s="172"/>
      <c r="K100" s="168"/>
      <c r="L100" s="173"/>
      <c r="M100" s="80"/>
      <c r="N100" s="80"/>
      <c r="O100" s="173"/>
      <c r="P100" s="177"/>
      <c r="Q100" s="173"/>
      <c r="R100" s="173" t="s">
        <v>36</v>
      </c>
      <c r="S100" s="80"/>
      <c r="T100" s="43"/>
      <c r="U100" s="174"/>
    </row>
    <row r="101" spans="1:21" ht="171.75" customHeight="1" x14ac:dyDescent="0.25">
      <c r="A101" s="46"/>
      <c r="B101" s="46" t="s">
        <v>185</v>
      </c>
      <c r="C101" s="46" t="s">
        <v>149</v>
      </c>
      <c r="D101" s="80" t="s">
        <v>402</v>
      </c>
      <c r="E101" s="43" t="s">
        <v>403</v>
      </c>
      <c r="F101" s="34">
        <v>-3000</v>
      </c>
      <c r="G101" s="164">
        <v>38640</v>
      </c>
      <c r="H101" s="165">
        <v>0.5</v>
      </c>
      <c r="I101" s="187" t="s">
        <v>401</v>
      </c>
      <c r="J101" s="172"/>
      <c r="K101" s="168"/>
      <c r="L101" s="173"/>
      <c r="M101" s="80"/>
      <c r="N101" s="80"/>
      <c r="O101" s="173"/>
      <c r="P101" s="177"/>
      <c r="Q101" s="173"/>
      <c r="R101" s="173" t="s">
        <v>36</v>
      </c>
      <c r="S101" s="80"/>
      <c r="T101" s="43"/>
      <c r="U101" s="174"/>
    </row>
    <row r="102" spans="1:21" s="24" customFormat="1" ht="151.5" customHeight="1" x14ac:dyDescent="0.25">
      <c r="A102" s="46"/>
      <c r="B102" s="46" t="s">
        <v>188</v>
      </c>
      <c r="C102" s="46" t="s">
        <v>154</v>
      </c>
      <c r="D102" s="80" t="s">
        <v>233</v>
      </c>
      <c r="E102" s="43" t="s">
        <v>404</v>
      </c>
      <c r="F102" s="34"/>
      <c r="G102" s="164">
        <v>15000</v>
      </c>
      <c r="H102" s="165"/>
      <c r="I102" s="187" t="s">
        <v>401</v>
      </c>
      <c r="J102" s="172"/>
      <c r="K102" s="168"/>
      <c r="L102" s="173"/>
      <c r="M102" s="80"/>
      <c r="N102" s="80"/>
      <c r="O102" s="173"/>
      <c r="P102" s="177"/>
      <c r="Q102" s="173" t="s">
        <v>36</v>
      </c>
      <c r="R102" s="173"/>
      <c r="S102" s="80"/>
      <c r="T102" s="43"/>
      <c r="U102" s="174"/>
    </row>
    <row r="103" spans="1:21" s="24" customFormat="1" ht="174" customHeight="1" x14ac:dyDescent="0.25">
      <c r="A103" s="46"/>
      <c r="B103" s="46" t="s">
        <v>191</v>
      </c>
      <c r="C103" s="46" t="s">
        <v>149</v>
      </c>
      <c r="D103" s="80" t="s">
        <v>150</v>
      </c>
      <c r="E103" s="43" t="s">
        <v>405</v>
      </c>
      <c r="F103" s="34"/>
      <c r="G103" s="164">
        <v>9558</v>
      </c>
      <c r="H103" s="165">
        <v>0.2</v>
      </c>
      <c r="I103" s="187" t="s">
        <v>406</v>
      </c>
      <c r="J103" s="172"/>
      <c r="K103" s="168"/>
      <c r="L103" s="173"/>
      <c r="M103" s="80"/>
      <c r="N103" s="80"/>
      <c r="O103" s="173"/>
      <c r="P103" s="177"/>
      <c r="Q103" s="173" t="s">
        <v>36</v>
      </c>
      <c r="R103" s="173"/>
      <c r="S103" s="80"/>
      <c r="T103" s="43"/>
      <c r="U103" s="174"/>
    </row>
    <row r="104" spans="1:21" ht="230.25" customHeight="1" x14ac:dyDescent="0.25">
      <c r="A104" s="46"/>
      <c r="B104" s="46" t="s">
        <v>195</v>
      </c>
      <c r="C104" s="46" t="s">
        <v>162</v>
      </c>
      <c r="D104" s="80" t="s">
        <v>163</v>
      </c>
      <c r="E104" s="43" t="s">
        <v>407</v>
      </c>
      <c r="F104" s="34">
        <v>-1000</v>
      </c>
      <c r="G104" s="164"/>
      <c r="H104" s="165"/>
      <c r="I104" s="187" t="s">
        <v>408</v>
      </c>
      <c r="J104" s="172"/>
      <c r="K104" s="168"/>
      <c r="L104" s="173"/>
      <c r="M104" s="80"/>
      <c r="N104" s="80"/>
      <c r="O104" s="173"/>
      <c r="P104" s="177" t="s">
        <v>36</v>
      </c>
      <c r="Q104" s="173"/>
      <c r="R104" s="173"/>
      <c r="S104" s="80"/>
      <c r="T104" s="43"/>
      <c r="U104" s="174"/>
    </row>
    <row r="105" spans="1:21" ht="213" customHeight="1" x14ac:dyDescent="0.25">
      <c r="A105" s="46"/>
      <c r="B105" s="46" t="s">
        <v>199</v>
      </c>
      <c r="C105" s="46" t="s">
        <v>162</v>
      </c>
      <c r="D105" s="80" t="s">
        <v>163</v>
      </c>
      <c r="E105" s="43" t="s">
        <v>409</v>
      </c>
      <c r="F105" s="34">
        <v>-104</v>
      </c>
      <c r="G105" s="164"/>
      <c r="H105" s="165"/>
      <c r="I105" s="187" t="s">
        <v>410</v>
      </c>
      <c r="J105" s="172"/>
      <c r="K105" s="168"/>
      <c r="L105" s="173"/>
      <c r="M105" s="80"/>
      <c r="N105" s="80"/>
      <c r="O105" s="173"/>
      <c r="P105" s="177" t="s">
        <v>36</v>
      </c>
      <c r="Q105" s="173"/>
      <c r="R105" s="173"/>
      <c r="S105" s="80"/>
      <c r="T105" s="43"/>
      <c r="U105" s="174"/>
    </row>
    <row r="106" spans="1:21" s="24" customFormat="1" ht="234" x14ac:dyDescent="0.25">
      <c r="A106" s="46"/>
      <c r="B106" s="46" t="s">
        <v>202</v>
      </c>
      <c r="C106" s="46" t="s">
        <v>149</v>
      </c>
      <c r="D106" s="80" t="s">
        <v>192</v>
      </c>
      <c r="E106" s="43" t="s">
        <v>411</v>
      </c>
      <c r="F106" s="34">
        <v>-1000</v>
      </c>
      <c r="G106" s="164"/>
      <c r="H106" s="165"/>
      <c r="I106" s="187" t="s">
        <v>412</v>
      </c>
      <c r="J106" s="172"/>
      <c r="K106" s="168"/>
      <c r="L106" s="173"/>
      <c r="M106" s="80"/>
      <c r="N106" s="80"/>
      <c r="O106" s="173"/>
      <c r="P106" s="177" t="s">
        <v>36</v>
      </c>
      <c r="Q106" s="173"/>
      <c r="R106" s="173"/>
      <c r="S106" s="80"/>
      <c r="T106" s="43"/>
      <c r="U106" s="174"/>
    </row>
    <row r="107" spans="1:21" s="24" customFormat="1" ht="135.75" customHeight="1" x14ac:dyDescent="0.25">
      <c r="A107" s="46"/>
      <c r="B107" s="46" t="s">
        <v>205</v>
      </c>
      <c r="C107" s="46" t="s">
        <v>162</v>
      </c>
      <c r="D107" s="80" t="s">
        <v>163</v>
      </c>
      <c r="E107" s="43" t="s">
        <v>413</v>
      </c>
      <c r="F107" s="34">
        <v>-500</v>
      </c>
      <c r="G107" s="164">
        <v>651</v>
      </c>
      <c r="H107" s="165">
        <v>0.5</v>
      </c>
      <c r="I107" s="187" t="s">
        <v>414</v>
      </c>
      <c r="J107" s="172"/>
      <c r="K107" s="168"/>
      <c r="L107" s="173"/>
      <c r="M107" s="80"/>
      <c r="N107" s="80"/>
      <c r="O107" s="173"/>
      <c r="P107" s="177"/>
      <c r="Q107" s="173"/>
      <c r="R107" s="173" t="s">
        <v>36</v>
      </c>
      <c r="S107" s="80"/>
      <c r="T107" s="43"/>
      <c r="U107" s="174"/>
    </row>
    <row r="108" spans="1:21" ht="147.75" customHeight="1" x14ac:dyDescent="0.25">
      <c r="A108" s="46"/>
      <c r="B108" s="46" t="s">
        <v>209</v>
      </c>
      <c r="C108" s="46" t="s">
        <v>154</v>
      </c>
      <c r="D108" s="80" t="s">
        <v>167</v>
      </c>
      <c r="E108" s="43" t="s">
        <v>415</v>
      </c>
      <c r="F108" s="34"/>
      <c r="G108" s="164"/>
      <c r="H108" s="165"/>
      <c r="I108" s="182" t="s">
        <v>392</v>
      </c>
      <c r="J108" s="172"/>
      <c r="K108" s="188"/>
      <c r="L108" s="173"/>
      <c r="M108" s="80"/>
      <c r="N108" s="80"/>
      <c r="O108" s="173"/>
      <c r="P108" s="177"/>
      <c r="Q108" s="173"/>
      <c r="R108" s="173"/>
      <c r="S108" s="168" t="s">
        <v>52</v>
      </c>
      <c r="T108" s="43"/>
      <c r="U108" s="174"/>
    </row>
    <row r="109" spans="1:21" ht="177" customHeight="1" x14ac:dyDescent="0.25">
      <c r="A109" s="46"/>
      <c r="B109" s="46" t="s">
        <v>212</v>
      </c>
      <c r="C109" s="46" t="s">
        <v>154</v>
      </c>
      <c r="D109" s="80" t="s">
        <v>196</v>
      </c>
      <c r="E109" s="43" t="s">
        <v>416</v>
      </c>
      <c r="F109" s="34"/>
      <c r="G109" s="164"/>
      <c r="H109" s="165"/>
      <c r="I109" s="182" t="s">
        <v>392</v>
      </c>
      <c r="J109" s="172"/>
      <c r="K109" s="188"/>
      <c r="L109" s="173"/>
      <c r="M109" s="80"/>
      <c r="N109" s="80"/>
      <c r="O109" s="173"/>
      <c r="P109" s="177"/>
      <c r="Q109" s="173"/>
      <c r="R109" s="173"/>
      <c r="S109" s="168" t="s">
        <v>52</v>
      </c>
      <c r="T109" s="43"/>
      <c r="U109" s="174"/>
    </row>
    <row r="110" spans="1:21" s="24" customFormat="1" ht="177.75" customHeight="1" x14ac:dyDescent="0.25">
      <c r="A110" s="46"/>
      <c r="B110" s="46" t="s">
        <v>216</v>
      </c>
      <c r="C110" s="46" t="s">
        <v>149</v>
      </c>
      <c r="D110" s="80" t="s">
        <v>206</v>
      </c>
      <c r="E110" s="43" t="s">
        <v>417</v>
      </c>
      <c r="F110" s="34"/>
      <c r="G110" s="164"/>
      <c r="H110" s="165"/>
      <c r="I110" s="182" t="s">
        <v>392</v>
      </c>
      <c r="J110" s="172"/>
      <c r="K110" s="188"/>
      <c r="L110" s="173"/>
      <c r="M110" s="80"/>
      <c r="N110" s="80"/>
      <c r="O110" s="173"/>
      <c r="P110" s="177"/>
      <c r="Q110" s="173"/>
      <c r="R110" s="173"/>
      <c r="S110" s="168" t="s">
        <v>52</v>
      </c>
      <c r="T110" s="43"/>
      <c r="U110" s="174"/>
    </row>
    <row r="111" spans="1:21" s="24" customFormat="1" ht="138.75" customHeight="1" x14ac:dyDescent="0.25">
      <c r="A111" s="46"/>
      <c r="B111" s="46" t="s">
        <v>218</v>
      </c>
      <c r="C111" s="46" t="s">
        <v>149</v>
      </c>
      <c r="D111" s="80" t="s">
        <v>206</v>
      </c>
      <c r="E111" s="43" t="s">
        <v>418</v>
      </c>
      <c r="F111" s="34"/>
      <c r="G111" s="164"/>
      <c r="H111" s="165"/>
      <c r="I111" s="182" t="s">
        <v>392</v>
      </c>
      <c r="J111" s="172"/>
      <c r="K111" s="188"/>
      <c r="L111" s="173"/>
      <c r="M111" s="80"/>
      <c r="N111" s="80"/>
      <c r="O111" s="173"/>
      <c r="P111" s="177"/>
      <c r="Q111" s="173"/>
      <c r="R111" s="173"/>
      <c r="S111" s="168" t="s">
        <v>52</v>
      </c>
      <c r="T111" s="43"/>
      <c r="U111" s="174"/>
    </row>
    <row r="112" spans="1:21" ht="149.25" customHeight="1" x14ac:dyDescent="0.25">
      <c r="A112" s="46"/>
      <c r="B112" s="46" t="s">
        <v>221</v>
      </c>
      <c r="C112" s="46" t="s">
        <v>149</v>
      </c>
      <c r="D112" s="80" t="s">
        <v>150</v>
      </c>
      <c r="E112" s="43" t="s">
        <v>419</v>
      </c>
      <c r="F112" s="34"/>
      <c r="G112" s="164"/>
      <c r="H112" s="165"/>
      <c r="I112" s="182" t="s">
        <v>392</v>
      </c>
      <c r="J112" s="172"/>
      <c r="K112" s="188"/>
      <c r="L112" s="173"/>
      <c r="M112" s="80"/>
      <c r="N112" s="80"/>
      <c r="O112" s="173"/>
      <c r="P112" s="177"/>
      <c r="Q112" s="173"/>
      <c r="R112" s="173"/>
      <c r="S112" s="168" t="s">
        <v>52</v>
      </c>
      <c r="T112" s="43"/>
      <c r="U112" s="174"/>
    </row>
    <row r="113" spans="1:21" ht="180" customHeight="1" x14ac:dyDescent="0.25">
      <c r="A113" s="46"/>
      <c r="B113" s="46" t="s">
        <v>223</v>
      </c>
      <c r="C113" s="46" t="s">
        <v>149</v>
      </c>
      <c r="D113" s="80" t="s">
        <v>150</v>
      </c>
      <c r="E113" s="43" t="s">
        <v>420</v>
      </c>
      <c r="F113" s="34"/>
      <c r="G113" s="164"/>
      <c r="H113" s="165"/>
      <c r="I113" s="182" t="s">
        <v>392</v>
      </c>
      <c r="J113" s="172"/>
      <c r="K113" s="188"/>
      <c r="L113" s="173"/>
      <c r="M113" s="80"/>
      <c r="N113" s="80"/>
      <c r="O113" s="173"/>
      <c r="P113" s="177"/>
      <c r="Q113" s="173"/>
      <c r="R113" s="173"/>
      <c r="S113" s="168" t="s">
        <v>52</v>
      </c>
      <c r="T113" s="43"/>
      <c r="U113" s="174"/>
    </row>
    <row r="114" spans="1:21" s="24" customFormat="1" ht="168" customHeight="1" x14ac:dyDescent="0.25">
      <c r="A114" s="46"/>
      <c r="B114" s="46" t="s">
        <v>226</v>
      </c>
      <c r="C114" s="46" t="s">
        <v>149</v>
      </c>
      <c r="D114" s="80" t="s">
        <v>227</v>
      </c>
      <c r="E114" s="43" t="s">
        <v>421</v>
      </c>
      <c r="F114" s="34"/>
      <c r="G114" s="164"/>
      <c r="H114" s="165"/>
      <c r="I114" s="182" t="s">
        <v>392</v>
      </c>
      <c r="J114" s="172"/>
      <c r="K114" s="188"/>
      <c r="L114" s="173"/>
      <c r="M114" s="80"/>
      <c r="N114" s="80"/>
      <c r="O114" s="173"/>
      <c r="P114" s="177"/>
      <c r="Q114" s="173"/>
      <c r="R114" s="173"/>
      <c r="S114" s="168" t="s">
        <v>52</v>
      </c>
      <c r="T114" s="43"/>
      <c r="U114" s="174"/>
    </row>
    <row r="115" spans="1:21" x14ac:dyDescent="0.25">
      <c r="A115" s="86" t="s">
        <v>422</v>
      </c>
      <c r="B115" s="86"/>
      <c r="C115" s="86"/>
      <c r="D115" s="86"/>
      <c r="E115" s="86"/>
      <c r="F115" s="86"/>
      <c r="G115" s="86"/>
      <c r="H115" s="86"/>
      <c r="I115" s="86"/>
      <c r="J115" s="86"/>
      <c r="K115" s="86"/>
      <c r="L115" s="86"/>
      <c r="M115" s="86"/>
      <c r="N115" s="86"/>
      <c r="O115" s="86"/>
      <c r="P115" s="86"/>
      <c r="Q115" s="86"/>
      <c r="R115" s="86"/>
      <c r="S115" s="86"/>
      <c r="T115" s="86"/>
      <c r="U115" s="86"/>
    </row>
    <row r="116" spans="1:21" x14ac:dyDescent="0.25">
      <c r="A116" s="87" t="s">
        <v>423</v>
      </c>
      <c r="B116" s="87"/>
      <c r="C116" s="87"/>
      <c r="D116" s="87"/>
      <c r="E116" s="87"/>
      <c r="F116" s="87"/>
      <c r="G116" s="87"/>
      <c r="H116" s="87"/>
      <c r="I116" s="87"/>
      <c r="J116" s="87"/>
      <c r="K116" s="87"/>
      <c r="L116" s="87"/>
      <c r="M116" s="87"/>
      <c r="N116" s="87"/>
      <c r="O116" s="87"/>
      <c r="P116" s="87"/>
      <c r="Q116" s="87"/>
      <c r="R116" s="87"/>
      <c r="S116" s="87"/>
      <c r="T116" s="87"/>
      <c r="U116" s="87"/>
    </row>
    <row r="117" spans="1:21" x14ac:dyDescent="0.25">
      <c r="A117" s="87" t="s">
        <v>424</v>
      </c>
      <c r="B117" s="87"/>
      <c r="C117" s="87"/>
      <c r="D117" s="87"/>
      <c r="E117" s="87"/>
      <c r="F117" s="87"/>
      <c r="G117" s="87"/>
      <c r="H117" s="87"/>
      <c r="I117" s="87"/>
      <c r="J117" s="87"/>
      <c r="K117" s="87"/>
      <c r="L117" s="87"/>
      <c r="M117" s="87"/>
      <c r="N117" s="87"/>
      <c r="O117" s="87"/>
      <c r="P117" s="87"/>
      <c r="Q117" s="87"/>
      <c r="R117" s="87"/>
      <c r="S117" s="87"/>
      <c r="T117" s="87"/>
      <c r="U117" s="87"/>
    </row>
    <row r="118" spans="1:21" x14ac:dyDescent="0.25">
      <c r="A118" s="87" t="s">
        <v>425</v>
      </c>
      <c r="B118" s="87"/>
      <c r="C118" s="87"/>
      <c r="D118" s="87"/>
      <c r="E118" s="87"/>
      <c r="F118" s="87"/>
      <c r="G118" s="87"/>
      <c r="H118" s="87"/>
      <c r="I118" s="87"/>
      <c r="J118" s="87"/>
      <c r="K118" s="87"/>
      <c r="L118" s="87"/>
      <c r="M118" s="87"/>
      <c r="N118" s="87"/>
      <c r="O118" s="87"/>
      <c r="P118" s="87"/>
      <c r="Q118" s="87"/>
      <c r="R118" s="87"/>
      <c r="S118" s="87"/>
      <c r="T118" s="87"/>
      <c r="U118" s="87"/>
    </row>
    <row r="119" spans="1:21" x14ac:dyDescent="0.25">
      <c r="A119" s="87" t="s">
        <v>426</v>
      </c>
      <c r="B119" s="87"/>
      <c r="C119" s="87"/>
      <c r="D119" s="87"/>
      <c r="E119" s="87"/>
      <c r="F119" s="87"/>
      <c r="G119" s="87"/>
      <c r="H119" s="87"/>
      <c r="I119" s="87"/>
      <c r="J119" s="87"/>
      <c r="K119" s="87"/>
      <c r="L119" s="87"/>
      <c r="M119" s="87"/>
      <c r="N119" s="87"/>
      <c r="O119" s="87"/>
      <c r="P119" s="87"/>
      <c r="Q119" s="87"/>
      <c r="R119" s="87"/>
      <c r="S119" s="87"/>
      <c r="T119" s="87"/>
      <c r="U119" s="87"/>
    </row>
  </sheetData>
  <sheetProtection formatColumns="0"/>
  <autoFilter ref="A6:U119" xr:uid="{00000000-0009-0000-0000-000000000000}"/>
  <mergeCells count="40">
    <mergeCell ref="A119:U119"/>
    <mergeCell ref="A90:D90"/>
    <mergeCell ref="F90:H90"/>
    <mergeCell ref="A115:U115"/>
    <mergeCell ref="A116:U116"/>
    <mergeCell ref="A117:U117"/>
    <mergeCell ref="A118:U118"/>
    <mergeCell ref="A8:D8"/>
    <mergeCell ref="F8:H8"/>
    <mergeCell ref="F9:H9"/>
    <mergeCell ref="A11:D11"/>
    <mergeCell ref="F11:H11"/>
    <mergeCell ref="F12:H12"/>
    <mergeCell ref="L5:L6"/>
    <mergeCell ref="M5:M6"/>
    <mergeCell ref="N5:N6"/>
    <mergeCell ref="O5:O6"/>
    <mergeCell ref="P5:S5"/>
    <mergeCell ref="A7:E7"/>
    <mergeCell ref="F7:H7"/>
    <mergeCell ref="K3:S3"/>
    <mergeCell ref="T3:T6"/>
    <mergeCell ref="U3:U6"/>
    <mergeCell ref="F4:F6"/>
    <mergeCell ref="G4:H4"/>
    <mergeCell ref="K4:N4"/>
    <mergeCell ref="O4:S4"/>
    <mergeCell ref="G5:G6"/>
    <mergeCell ref="H5:H6"/>
    <mergeCell ref="K5:K6"/>
    <mergeCell ref="A1:U1"/>
    <mergeCell ref="S2:U2"/>
    <mergeCell ref="A3:A6"/>
    <mergeCell ref="B3:B6"/>
    <mergeCell ref="C3:C6"/>
    <mergeCell ref="D3:D6"/>
    <mergeCell ref="E3:E6"/>
    <mergeCell ref="F3:H3"/>
    <mergeCell ref="I3:I6"/>
    <mergeCell ref="J3:J6"/>
  </mergeCells>
  <phoneticPr fontId="32" type="noConversion"/>
  <printOptions horizontalCentered="1"/>
  <pageMargins left="0.59055118110236227" right="0.19685039370078741" top="0.59055118110236227" bottom="0.59055118110236227" header="0.43307086614173229" footer="0.23622047244094491"/>
  <pageSetup paperSize="8" scale="70" fitToHeight="0" orientation="landscape" blackAndWhite="1" r:id="rId1"/>
  <headerFooter alignWithMargins="0">
    <oddFooter>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E1A6-6E68-49C9-AEB6-83514DE5B7C8}">
  <sheetPr>
    <pageSetUpPr fitToPage="1"/>
  </sheetPr>
  <dimension ref="A1:U22"/>
  <sheetViews>
    <sheetView view="pageBreakPreview" zoomScale="80" zoomScaleNormal="75" zoomScaleSheetLayoutView="80" workbookViewId="0">
      <pane ySplit="6" topLeftCell="A7" activePane="bottomLeft" state="frozen"/>
      <selection activeCell="I13" sqref="I13"/>
      <selection pane="bottomLeft" activeCell="E15" sqref="E15"/>
    </sheetView>
  </sheetViews>
  <sheetFormatPr defaultColWidth="9" defaultRowHeight="18.75" x14ac:dyDescent="0.25"/>
  <cols>
    <col min="1" max="1" width="10" style="4" customWidth="1"/>
    <col min="2" max="3" width="6.5" style="4" customWidth="1"/>
    <col min="4" max="4" width="7.375" style="4" customWidth="1"/>
    <col min="5" max="5" width="41.75" style="5" customWidth="1"/>
    <col min="6" max="6" width="13.125" style="6" customWidth="1"/>
    <col min="7" max="8" width="11.5" style="6" customWidth="1"/>
    <col min="9" max="9" width="64.375" style="6" customWidth="1"/>
    <col min="10" max="10" width="20.625" style="6" customWidth="1"/>
    <col min="11" max="11" width="7.75" style="3" customWidth="1"/>
    <col min="12" max="14" width="8" style="3" customWidth="1"/>
    <col min="15" max="15" width="12.125" style="3" customWidth="1"/>
    <col min="16" max="20" width="8" style="3" customWidth="1"/>
    <col min="21" max="21" width="8" style="16" customWidth="1"/>
    <col min="22" max="16384" width="9" style="3"/>
  </cols>
  <sheetData>
    <row r="1" spans="1:21" ht="32.1" customHeight="1" x14ac:dyDescent="0.25">
      <c r="A1" s="117" t="s">
        <v>82</v>
      </c>
      <c r="B1" s="117"/>
      <c r="C1" s="117"/>
      <c r="D1" s="117"/>
      <c r="E1" s="117"/>
      <c r="F1" s="117"/>
      <c r="G1" s="117"/>
      <c r="H1" s="117"/>
      <c r="I1" s="117"/>
      <c r="J1" s="117"/>
      <c r="K1" s="117"/>
      <c r="L1" s="117"/>
      <c r="M1" s="117"/>
      <c r="N1" s="117"/>
      <c r="O1" s="117"/>
      <c r="P1" s="117"/>
      <c r="Q1" s="117"/>
      <c r="R1" s="117"/>
      <c r="S1" s="117"/>
      <c r="T1" s="117"/>
      <c r="U1" s="117"/>
    </row>
    <row r="2" spans="1:21" ht="21.75" customHeight="1" x14ac:dyDescent="0.25">
      <c r="A2" s="8"/>
      <c r="B2" s="8"/>
      <c r="C2" s="8"/>
      <c r="D2" s="8"/>
      <c r="E2" s="9"/>
      <c r="F2" s="10"/>
      <c r="S2" s="118" t="s">
        <v>0</v>
      </c>
      <c r="T2" s="118"/>
      <c r="U2" s="118"/>
    </row>
    <row r="3" spans="1:21" ht="31.7" customHeight="1" x14ac:dyDescent="0.25">
      <c r="A3" s="106" t="s">
        <v>83</v>
      </c>
      <c r="B3" s="106" t="s">
        <v>59</v>
      </c>
      <c r="C3" s="106" t="s">
        <v>60</v>
      </c>
      <c r="D3" s="106" t="s">
        <v>61</v>
      </c>
      <c r="E3" s="131" t="s">
        <v>93</v>
      </c>
      <c r="F3" s="111" t="s">
        <v>62</v>
      </c>
      <c r="G3" s="120"/>
      <c r="H3" s="112"/>
      <c r="I3" s="132" t="s">
        <v>7</v>
      </c>
      <c r="J3" s="124" t="s">
        <v>64</v>
      </c>
      <c r="K3" s="103" t="s">
        <v>84</v>
      </c>
      <c r="L3" s="104"/>
      <c r="M3" s="104"/>
      <c r="N3" s="104"/>
      <c r="O3" s="104"/>
      <c r="P3" s="104"/>
      <c r="Q3" s="104"/>
      <c r="R3" s="104"/>
      <c r="S3" s="105"/>
      <c r="T3" s="106" t="s">
        <v>85</v>
      </c>
      <c r="U3" s="106" t="s">
        <v>65</v>
      </c>
    </row>
    <row r="4" spans="1:21" ht="32.25" customHeight="1" x14ac:dyDescent="0.25">
      <c r="A4" s="106"/>
      <c r="B4" s="106"/>
      <c r="C4" s="106"/>
      <c r="D4" s="106"/>
      <c r="E4" s="106"/>
      <c r="F4" s="108" t="s">
        <v>86</v>
      </c>
      <c r="G4" s="111" t="s">
        <v>66</v>
      </c>
      <c r="H4" s="112"/>
      <c r="I4" s="122"/>
      <c r="J4" s="125"/>
      <c r="K4" s="103" t="s">
        <v>67</v>
      </c>
      <c r="L4" s="104"/>
      <c r="M4" s="104"/>
      <c r="N4" s="105"/>
      <c r="O4" s="104" t="s">
        <v>68</v>
      </c>
      <c r="P4" s="104"/>
      <c r="Q4" s="104"/>
      <c r="R4" s="104"/>
      <c r="S4" s="105"/>
      <c r="T4" s="106"/>
      <c r="U4" s="106"/>
    </row>
    <row r="5" spans="1:21" ht="27" customHeight="1" x14ac:dyDescent="0.25">
      <c r="A5" s="106"/>
      <c r="B5" s="106"/>
      <c r="C5" s="106"/>
      <c r="D5" s="106"/>
      <c r="E5" s="106"/>
      <c r="F5" s="109"/>
      <c r="G5" s="113" t="s">
        <v>69</v>
      </c>
      <c r="H5" s="113" t="s">
        <v>70</v>
      </c>
      <c r="I5" s="122"/>
      <c r="J5" s="125"/>
      <c r="K5" s="107" t="s">
        <v>71</v>
      </c>
      <c r="L5" s="107" t="s">
        <v>87</v>
      </c>
      <c r="M5" s="107" t="s">
        <v>72</v>
      </c>
      <c r="N5" s="107" t="s">
        <v>73</v>
      </c>
      <c r="O5" s="115" t="s">
        <v>74</v>
      </c>
      <c r="P5" s="106" t="s">
        <v>75</v>
      </c>
      <c r="Q5" s="106"/>
      <c r="R5" s="106"/>
      <c r="S5" s="106"/>
      <c r="T5" s="107"/>
      <c r="U5" s="107"/>
    </row>
    <row r="6" spans="1:21" s="7" customFormat="1" ht="62.45" customHeight="1" x14ac:dyDescent="0.25">
      <c r="A6" s="106"/>
      <c r="B6" s="106"/>
      <c r="C6" s="106"/>
      <c r="D6" s="106"/>
      <c r="E6" s="106"/>
      <c r="F6" s="110"/>
      <c r="G6" s="113"/>
      <c r="H6" s="113"/>
      <c r="I6" s="123"/>
      <c r="J6" s="126"/>
      <c r="K6" s="114"/>
      <c r="L6" s="114"/>
      <c r="M6" s="114"/>
      <c r="N6" s="114"/>
      <c r="O6" s="116"/>
      <c r="P6" s="60" t="s">
        <v>88</v>
      </c>
      <c r="Q6" s="60" t="s">
        <v>76</v>
      </c>
      <c r="R6" s="60" t="s">
        <v>77</v>
      </c>
      <c r="S6" s="60" t="s">
        <v>78</v>
      </c>
      <c r="T6" s="107"/>
      <c r="U6" s="107"/>
    </row>
    <row r="7" spans="1:21" s="7" customFormat="1" ht="24.95" customHeight="1" x14ac:dyDescent="0.25">
      <c r="A7" s="99" t="s">
        <v>1</v>
      </c>
      <c r="B7" s="99"/>
      <c r="C7" s="99"/>
      <c r="D7" s="99"/>
      <c r="E7" s="99"/>
      <c r="F7" s="100" t="s">
        <v>80</v>
      </c>
      <c r="G7" s="101"/>
      <c r="H7" s="102"/>
      <c r="I7" s="26"/>
      <c r="J7" s="38"/>
      <c r="K7" s="31">
        <f>COUNTIF(K10:K14,"v")</f>
        <v>0</v>
      </c>
      <c r="L7" s="31">
        <f>COUNTIF(L10:L14,"v")</f>
        <v>0</v>
      </c>
      <c r="M7" s="31">
        <f>COUNTIF(M10:M14,"v")</f>
        <v>0</v>
      </c>
      <c r="N7" s="31">
        <f>COUNTIF(N10:N14,"v")</f>
        <v>0</v>
      </c>
      <c r="O7" s="31">
        <f>COUNTIF(O10:O14,"v")</f>
        <v>0</v>
      </c>
      <c r="P7" s="31">
        <f>COUNTIF(P10:P22,"v")</f>
        <v>0</v>
      </c>
      <c r="Q7" s="31">
        <f>COUNTIF(Q14:Q22,"v")</f>
        <v>8</v>
      </c>
      <c r="R7" s="31">
        <f>COUNTIF(R10:R14,"v")</f>
        <v>0</v>
      </c>
      <c r="S7" s="31">
        <f>COUNTIF(S10:S14,"v")</f>
        <v>0</v>
      </c>
      <c r="T7" s="1"/>
      <c r="U7" s="2"/>
    </row>
    <row r="8" spans="1:21" s="23" customFormat="1" ht="24.95" hidden="1" customHeight="1" x14ac:dyDescent="0.25">
      <c r="A8" s="128" t="s">
        <v>79</v>
      </c>
      <c r="B8" s="128"/>
      <c r="C8" s="128"/>
      <c r="D8" s="128"/>
      <c r="E8" s="74"/>
      <c r="F8" s="90" t="s">
        <v>80</v>
      </c>
      <c r="G8" s="91"/>
      <c r="H8" s="92"/>
      <c r="I8" s="21"/>
      <c r="J8" s="28"/>
      <c r="K8" s="11"/>
      <c r="L8" s="11"/>
      <c r="M8" s="11"/>
      <c r="N8" s="11"/>
      <c r="O8" s="11"/>
      <c r="P8" s="11"/>
      <c r="Q8" s="11"/>
      <c r="R8" s="11"/>
      <c r="S8" s="11"/>
      <c r="T8" s="12"/>
      <c r="U8" s="19"/>
    </row>
    <row r="9" spans="1:21" s="24" customFormat="1" ht="24.95" hidden="1" customHeight="1" x14ac:dyDescent="0.25">
      <c r="A9" s="75" t="s">
        <v>81</v>
      </c>
      <c r="B9" s="75"/>
      <c r="C9" s="75"/>
      <c r="D9" s="75"/>
      <c r="E9" s="73"/>
      <c r="F9" s="90" t="s">
        <v>80</v>
      </c>
      <c r="G9" s="91"/>
      <c r="H9" s="92"/>
      <c r="I9" s="27"/>
      <c r="J9" s="29"/>
      <c r="K9" s="18">
        <f>COUNTIF(K10:K14,"v")</f>
        <v>0</v>
      </c>
      <c r="L9" s="18">
        <f>COUNTIF(L10:L14,"v")</f>
        <v>0</v>
      </c>
      <c r="M9" s="18">
        <f>COUNTIF(M10:M14,"v")</f>
        <v>0</v>
      </c>
      <c r="N9" s="18">
        <f>COUNTIF(N10:N14,"v")</f>
        <v>0</v>
      </c>
      <c r="O9" s="18">
        <f>COUNTIF(O10:O14,"v")</f>
        <v>0</v>
      </c>
      <c r="P9" s="18">
        <f ca="1">COUNTIF(P9:P9,"v")</f>
        <v>0</v>
      </c>
      <c r="Q9" s="18">
        <f>COUNTIF(Q10:Q14,"v")</f>
        <v>1</v>
      </c>
      <c r="R9" s="18">
        <f>COUNTIF(R10:R14,"v")</f>
        <v>0</v>
      </c>
      <c r="S9" s="18" t="e">
        <f>COUNTIF(#REF!,"v")</f>
        <v>#REF!</v>
      </c>
      <c r="T9" s="25"/>
      <c r="U9" s="18">
        <f>COUNTIF(U10:U14,"v")</f>
        <v>0</v>
      </c>
    </row>
    <row r="10" spans="1:21" s="23" customFormat="1" ht="78" hidden="1" x14ac:dyDescent="0.25">
      <c r="A10" s="129" t="s">
        <v>89</v>
      </c>
      <c r="B10" s="129"/>
      <c r="C10" s="129"/>
      <c r="D10" s="129"/>
      <c r="E10" s="62"/>
      <c r="F10" s="63"/>
      <c r="G10" s="64"/>
      <c r="H10" s="64"/>
      <c r="I10" s="65" t="s">
        <v>90</v>
      </c>
      <c r="J10" s="66"/>
      <c r="K10" s="67"/>
      <c r="L10" s="68"/>
      <c r="M10" s="68"/>
      <c r="N10" s="68"/>
      <c r="O10" s="69"/>
      <c r="P10" s="69"/>
      <c r="Q10" s="69"/>
      <c r="R10" s="69"/>
      <c r="S10" s="68"/>
      <c r="T10" s="70"/>
      <c r="U10" s="71"/>
    </row>
    <row r="11" spans="1:21" s="24" customFormat="1" ht="97.5" hidden="1" x14ac:dyDescent="0.25">
      <c r="A11" s="129" t="s">
        <v>91</v>
      </c>
      <c r="B11" s="129"/>
      <c r="C11" s="129"/>
      <c r="D11" s="129"/>
      <c r="E11" s="62"/>
      <c r="F11" s="63"/>
      <c r="G11" s="64"/>
      <c r="H11" s="64"/>
      <c r="I11" s="65" t="s">
        <v>92</v>
      </c>
      <c r="J11" s="66"/>
      <c r="K11" s="67"/>
      <c r="L11" s="68"/>
      <c r="M11" s="68"/>
      <c r="N11" s="68"/>
      <c r="O11" s="69"/>
      <c r="P11" s="69"/>
      <c r="Q11" s="69"/>
      <c r="R11" s="69"/>
      <c r="S11" s="68"/>
      <c r="T11" s="70"/>
      <c r="U11" s="71"/>
    </row>
    <row r="12" spans="1:21" s="7" customFormat="1" ht="30" customHeight="1" x14ac:dyDescent="0.25">
      <c r="A12" s="130" t="s">
        <v>94</v>
      </c>
      <c r="B12" s="128"/>
      <c r="C12" s="128"/>
      <c r="D12" s="128"/>
      <c r="E12" s="74"/>
      <c r="F12" s="127" t="s">
        <v>95</v>
      </c>
      <c r="G12" s="91"/>
      <c r="H12" s="92"/>
      <c r="I12" s="21"/>
      <c r="J12" s="28"/>
      <c r="K12" s="11"/>
      <c r="L12" s="11"/>
      <c r="M12" s="11"/>
      <c r="N12" s="11"/>
      <c r="O12" s="11"/>
      <c r="P12" s="11"/>
      <c r="Q12" s="11"/>
      <c r="R12" s="11"/>
      <c r="S12" s="11"/>
      <c r="T12" s="12"/>
      <c r="U12" s="19"/>
    </row>
    <row r="13" spans="1:21" s="23" customFormat="1" ht="30" customHeight="1" x14ac:dyDescent="0.25">
      <c r="A13" s="76" t="s">
        <v>96</v>
      </c>
      <c r="B13" s="75"/>
      <c r="C13" s="75"/>
      <c r="D13" s="75"/>
      <c r="E13" s="73"/>
      <c r="F13" s="127" t="s">
        <v>97</v>
      </c>
      <c r="G13" s="91"/>
      <c r="H13" s="92"/>
      <c r="I13" s="27"/>
      <c r="J13" s="29"/>
      <c r="K13" s="18">
        <f>COUNTIF(K14:K24,"v")</f>
        <v>0</v>
      </c>
      <c r="L13" s="18">
        <f>COUNTIF(L14:L24,"v")</f>
        <v>0</v>
      </c>
      <c r="M13" s="18">
        <f>COUNTIF(M14:M24,"v")</f>
        <v>0</v>
      </c>
      <c r="N13" s="18">
        <f>COUNTIF(N14:N24,"v")</f>
        <v>0</v>
      </c>
      <c r="O13" s="18">
        <f>COUNTIF(O14:O24,"v")</f>
        <v>0</v>
      </c>
      <c r="P13" s="18">
        <f>COUNTIF(P14:P14,"v")</f>
        <v>0</v>
      </c>
      <c r="Q13" s="18">
        <f>COUNTIF(Q14:Q19,"v")</f>
        <v>6</v>
      </c>
      <c r="R13" s="18">
        <f>COUNTIF(R14:R24,"v")</f>
        <v>0</v>
      </c>
      <c r="S13" s="18">
        <f>COUNTIF(S14:S24,"v")</f>
        <v>0</v>
      </c>
      <c r="T13" s="25"/>
      <c r="U13" s="18">
        <f>COUNTIF(U14:U24,"v")</f>
        <v>0</v>
      </c>
    </row>
    <row r="14" spans="1:21" s="24" customFormat="1" ht="265.5" customHeight="1" x14ac:dyDescent="0.25">
      <c r="A14" s="15"/>
      <c r="B14" s="46" t="s">
        <v>28</v>
      </c>
      <c r="C14" s="47"/>
      <c r="D14" s="48" t="s">
        <v>98</v>
      </c>
      <c r="E14" s="77" t="s">
        <v>99</v>
      </c>
      <c r="F14" s="34"/>
      <c r="G14" s="14">
        <v>1041</v>
      </c>
      <c r="H14" s="78">
        <v>0.1</v>
      </c>
      <c r="I14" s="79" t="s">
        <v>100</v>
      </c>
      <c r="J14" s="39"/>
      <c r="K14" s="45"/>
      <c r="L14" s="40"/>
      <c r="M14" s="44"/>
      <c r="N14" s="44"/>
      <c r="O14" s="40"/>
      <c r="P14" s="52"/>
      <c r="Q14" s="41" t="s">
        <v>52</v>
      </c>
      <c r="R14" s="41"/>
      <c r="S14" s="42"/>
      <c r="T14" s="43"/>
      <c r="U14" s="17"/>
    </row>
    <row r="15" spans="1:21" s="24" customFormat="1" ht="161.25" customHeight="1" x14ac:dyDescent="0.25">
      <c r="A15" s="15"/>
      <c r="B15" s="80" t="s">
        <v>101</v>
      </c>
      <c r="C15" s="48"/>
      <c r="D15" s="48" t="s">
        <v>98</v>
      </c>
      <c r="E15" s="77" t="s">
        <v>102</v>
      </c>
      <c r="F15" s="81"/>
      <c r="G15" s="82">
        <v>1041</v>
      </c>
      <c r="H15" s="83">
        <v>0.1</v>
      </c>
      <c r="I15" s="79" t="s">
        <v>103</v>
      </c>
      <c r="J15" s="39"/>
      <c r="K15" s="45"/>
      <c r="L15" s="40"/>
      <c r="M15" s="44"/>
      <c r="N15" s="44"/>
      <c r="O15" s="40"/>
      <c r="P15" s="52"/>
      <c r="Q15" s="41" t="s">
        <v>52</v>
      </c>
      <c r="R15" s="41"/>
      <c r="S15" s="42"/>
      <c r="T15" s="43"/>
      <c r="U15" s="17"/>
    </row>
    <row r="16" spans="1:21" s="24" customFormat="1" ht="203.25" customHeight="1" x14ac:dyDescent="0.25">
      <c r="A16" s="15"/>
      <c r="B16" s="46" t="s">
        <v>104</v>
      </c>
      <c r="C16" s="47"/>
      <c r="D16" s="48" t="s">
        <v>98</v>
      </c>
      <c r="E16" s="77" t="s">
        <v>105</v>
      </c>
      <c r="F16" s="34"/>
      <c r="G16" s="14">
        <v>1041</v>
      </c>
      <c r="H16" s="78">
        <v>0.1</v>
      </c>
      <c r="I16" s="79" t="s">
        <v>106</v>
      </c>
      <c r="J16" s="39"/>
      <c r="K16" s="45"/>
      <c r="L16" s="40"/>
      <c r="M16" s="44"/>
      <c r="N16" s="44"/>
      <c r="O16" s="40"/>
      <c r="P16" s="52"/>
      <c r="Q16" s="41" t="s">
        <v>52</v>
      </c>
      <c r="R16" s="41"/>
      <c r="S16" s="42"/>
      <c r="T16" s="43"/>
      <c r="U16" s="17"/>
    </row>
    <row r="17" spans="1:21" s="24" customFormat="1" ht="269.25" customHeight="1" x14ac:dyDescent="0.25">
      <c r="A17" s="15"/>
      <c r="B17" s="46" t="s">
        <v>107</v>
      </c>
      <c r="C17" s="47"/>
      <c r="D17" s="48" t="s">
        <v>98</v>
      </c>
      <c r="E17" s="77" t="s">
        <v>108</v>
      </c>
      <c r="F17" s="34"/>
      <c r="G17" s="14">
        <v>2268</v>
      </c>
      <c r="H17" s="78">
        <v>0.1</v>
      </c>
      <c r="I17" s="79" t="s">
        <v>109</v>
      </c>
      <c r="J17" s="39"/>
      <c r="K17" s="45"/>
      <c r="L17" s="40"/>
      <c r="M17" s="44"/>
      <c r="N17" s="44"/>
      <c r="O17" s="40"/>
      <c r="P17" s="52"/>
      <c r="Q17" s="41" t="s">
        <v>52</v>
      </c>
      <c r="R17" s="41"/>
      <c r="S17" s="42"/>
      <c r="T17" s="43"/>
      <c r="U17" s="17"/>
    </row>
    <row r="18" spans="1:21" s="24" customFormat="1" ht="206.25" customHeight="1" x14ac:dyDescent="0.25">
      <c r="A18" s="15"/>
      <c r="B18" s="46" t="s">
        <v>110</v>
      </c>
      <c r="C18" s="47"/>
      <c r="D18" s="48" t="s">
        <v>98</v>
      </c>
      <c r="E18" s="77" t="s">
        <v>111</v>
      </c>
      <c r="F18" s="34"/>
      <c r="G18" s="14">
        <v>2268</v>
      </c>
      <c r="H18" s="78">
        <v>0.1</v>
      </c>
      <c r="I18" s="79" t="s">
        <v>112</v>
      </c>
      <c r="J18" s="39"/>
      <c r="K18" s="45"/>
      <c r="L18" s="40"/>
      <c r="M18" s="44"/>
      <c r="N18" s="44"/>
      <c r="O18" s="40"/>
      <c r="P18" s="52"/>
      <c r="Q18" s="41" t="s">
        <v>52</v>
      </c>
      <c r="R18" s="41"/>
      <c r="S18" s="42"/>
      <c r="T18" s="43"/>
      <c r="U18" s="17"/>
    </row>
    <row r="19" spans="1:21" s="24" customFormat="1" ht="162" customHeight="1" x14ac:dyDescent="0.25">
      <c r="A19" s="15"/>
      <c r="B19" s="80" t="s">
        <v>113</v>
      </c>
      <c r="C19" s="48"/>
      <c r="D19" s="48" t="s">
        <v>98</v>
      </c>
      <c r="E19" s="77" t="s">
        <v>114</v>
      </c>
      <c r="F19" s="81"/>
      <c r="G19" s="82">
        <v>2268</v>
      </c>
      <c r="H19" s="83">
        <v>0.1</v>
      </c>
      <c r="I19" s="79" t="s">
        <v>115</v>
      </c>
      <c r="J19" s="39"/>
      <c r="K19" s="45"/>
      <c r="L19" s="40"/>
      <c r="M19" s="44"/>
      <c r="N19" s="44"/>
      <c r="O19" s="40"/>
      <c r="P19" s="52"/>
      <c r="Q19" s="41" t="s">
        <v>52</v>
      </c>
      <c r="R19" s="41"/>
      <c r="S19" s="42"/>
      <c r="T19" s="43"/>
      <c r="U19" s="17"/>
    </row>
    <row r="20" spans="1:21" ht="30" customHeight="1" x14ac:dyDescent="0.25">
      <c r="A20" s="76" t="s">
        <v>116</v>
      </c>
      <c r="B20" s="75"/>
      <c r="C20" s="75"/>
      <c r="D20" s="75"/>
      <c r="E20" s="73"/>
      <c r="F20" s="127" t="s">
        <v>117</v>
      </c>
      <c r="G20" s="91"/>
      <c r="H20" s="92"/>
      <c r="I20" s="27"/>
      <c r="J20" s="29"/>
      <c r="K20" s="18">
        <f t="shared" ref="K20:S20" si="0">COUNTIF(K22:K28,"v")</f>
        <v>0</v>
      </c>
      <c r="L20" s="18">
        <f t="shared" si="0"/>
        <v>0</v>
      </c>
      <c r="M20" s="18">
        <f t="shared" si="0"/>
        <v>0</v>
      </c>
      <c r="N20" s="18">
        <f t="shared" si="0"/>
        <v>0</v>
      </c>
      <c r="O20" s="18">
        <f t="shared" si="0"/>
        <v>0</v>
      </c>
      <c r="P20" s="18">
        <f t="shared" si="0"/>
        <v>0</v>
      </c>
      <c r="Q20" s="18">
        <f>COUNTIF(Q21:Q28,"v")</f>
        <v>2</v>
      </c>
      <c r="R20" s="18">
        <f t="shared" si="0"/>
        <v>0</v>
      </c>
      <c r="S20" s="18">
        <f t="shared" si="0"/>
        <v>0</v>
      </c>
      <c r="T20" s="25"/>
      <c r="U20" s="18">
        <f>COUNTIF(U22:U28,"v")</f>
        <v>0</v>
      </c>
    </row>
    <row r="21" spans="1:21" ht="261" customHeight="1" x14ac:dyDescent="0.25">
      <c r="A21" s="84"/>
      <c r="B21" s="85" t="s">
        <v>118</v>
      </c>
      <c r="C21" s="47"/>
      <c r="D21" s="48" t="s">
        <v>98</v>
      </c>
      <c r="E21" s="77" t="s">
        <v>119</v>
      </c>
      <c r="F21" s="34"/>
      <c r="G21" s="14">
        <v>308</v>
      </c>
      <c r="H21" s="78">
        <v>0.1</v>
      </c>
      <c r="I21" s="79" t="s">
        <v>120</v>
      </c>
      <c r="J21" s="39"/>
      <c r="K21" s="45"/>
      <c r="L21" s="40"/>
      <c r="M21" s="44"/>
      <c r="N21" s="44"/>
      <c r="O21" s="40"/>
      <c r="P21" s="41"/>
      <c r="Q21" s="41" t="s">
        <v>52</v>
      </c>
      <c r="R21" s="41"/>
      <c r="S21" s="42"/>
      <c r="T21" s="43"/>
      <c r="U21" s="17"/>
    </row>
    <row r="22" spans="1:21" ht="208.5" customHeight="1" x14ac:dyDescent="0.25">
      <c r="A22" s="84"/>
      <c r="B22" s="85" t="s">
        <v>121</v>
      </c>
      <c r="C22" s="47"/>
      <c r="D22" s="48" t="s">
        <v>98</v>
      </c>
      <c r="E22" s="77" t="s">
        <v>122</v>
      </c>
      <c r="F22" s="34"/>
      <c r="G22" s="14">
        <v>308</v>
      </c>
      <c r="H22" s="78">
        <v>0.1</v>
      </c>
      <c r="I22" s="79" t="s">
        <v>123</v>
      </c>
      <c r="J22" s="39"/>
      <c r="K22" s="45"/>
      <c r="L22" s="40"/>
      <c r="M22" s="44"/>
      <c r="N22" s="44"/>
      <c r="O22" s="40"/>
      <c r="P22" s="41"/>
      <c r="Q22" s="41" t="s">
        <v>52</v>
      </c>
      <c r="R22" s="41"/>
      <c r="S22" s="42"/>
      <c r="T22" s="43"/>
      <c r="U22" s="17"/>
    </row>
  </sheetData>
  <autoFilter ref="A6:U14" xr:uid="{00000000-0009-0000-0000-000000000000}"/>
  <mergeCells count="36">
    <mergeCell ref="A1:U1"/>
    <mergeCell ref="S2:U2"/>
    <mergeCell ref="A3:A6"/>
    <mergeCell ref="B3:B6"/>
    <mergeCell ref="C3:C6"/>
    <mergeCell ref="D3:D6"/>
    <mergeCell ref="E3:E6"/>
    <mergeCell ref="F3:H3"/>
    <mergeCell ref="I3:I6"/>
    <mergeCell ref="J3:J6"/>
    <mergeCell ref="A7:E7"/>
    <mergeCell ref="F7:H7"/>
    <mergeCell ref="K3:S3"/>
    <mergeCell ref="T3:T6"/>
    <mergeCell ref="U3:U6"/>
    <mergeCell ref="F4:F6"/>
    <mergeCell ref="G4:H4"/>
    <mergeCell ref="K4:N4"/>
    <mergeCell ref="O4:S4"/>
    <mergeCell ref="G5:G6"/>
    <mergeCell ref="H5:H6"/>
    <mergeCell ref="K5:K6"/>
    <mergeCell ref="L5:L6"/>
    <mergeCell ref="M5:M6"/>
    <mergeCell ref="N5:N6"/>
    <mergeCell ref="O5:O6"/>
    <mergeCell ref="P5:S5"/>
    <mergeCell ref="F13:H13"/>
    <mergeCell ref="F20:H20"/>
    <mergeCell ref="A8:D8"/>
    <mergeCell ref="F8:H8"/>
    <mergeCell ref="F9:H9"/>
    <mergeCell ref="A10:D10"/>
    <mergeCell ref="A11:D11"/>
    <mergeCell ref="A12:D12"/>
    <mergeCell ref="F12:H12"/>
  </mergeCells>
  <phoneticPr fontId="32" type="noConversion"/>
  <printOptions horizontalCentered="1"/>
  <pageMargins left="0.59055118110236227" right="0.19685039370078741" top="0.59055118110236227" bottom="0.59055118110236227" header="0.43307086614173229" footer="0.23622047244094491"/>
  <pageSetup paperSize="8" scale="70" fitToHeight="0" orientation="landscape" blackAndWhite="1" r:id="rId1"/>
  <headerFooter alignWithMargins="0">
    <oddFooter>第 &amp;P 頁，共 &amp;N 頁</oddFooter>
  </headerFooter>
  <rowBreaks count="1" manualBreakCount="1">
    <brk id="1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7"/>
  <sheetViews>
    <sheetView view="pageBreakPreview" zoomScale="75" zoomScaleNormal="75" zoomScaleSheetLayoutView="75" workbookViewId="0">
      <pane ySplit="6" topLeftCell="A7" activePane="bottomLeft" state="frozen"/>
      <selection activeCell="I13" sqref="I13"/>
      <selection pane="bottomLeft" activeCell="D14" sqref="D14"/>
    </sheetView>
  </sheetViews>
  <sheetFormatPr defaultColWidth="9" defaultRowHeight="18.75" x14ac:dyDescent="0.25"/>
  <cols>
    <col min="1" max="1" width="10" style="4" customWidth="1"/>
    <col min="2" max="3" width="6.5" style="4" customWidth="1"/>
    <col min="4" max="4" width="7.375" style="4" customWidth="1"/>
    <col min="5" max="5" width="41.75" style="5" customWidth="1"/>
    <col min="6" max="6" width="13.125" style="6" customWidth="1"/>
    <col min="7" max="8" width="11.5" style="6" customWidth="1"/>
    <col min="9" max="9" width="64.375" style="6" customWidth="1"/>
    <col min="10" max="10" width="20.625" style="6" customWidth="1"/>
    <col min="11" max="11" width="7.75" style="3" customWidth="1"/>
    <col min="12" max="14" width="8" style="3" customWidth="1"/>
    <col min="15" max="15" width="12.125" style="3" customWidth="1"/>
    <col min="16" max="20" width="8" style="3" customWidth="1"/>
    <col min="21" max="21" width="8" style="16" customWidth="1"/>
    <col min="22" max="16384" width="9" style="3"/>
  </cols>
  <sheetData>
    <row r="1" spans="1:21" ht="32.1" customHeight="1" x14ac:dyDescent="0.25">
      <c r="A1" s="117" t="s">
        <v>56</v>
      </c>
      <c r="B1" s="117"/>
      <c r="C1" s="117"/>
      <c r="D1" s="117"/>
      <c r="E1" s="117"/>
      <c r="F1" s="117"/>
      <c r="G1" s="117"/>
      <c r="H1" s="117"/>
      <c r="I1" s="117"/>
      <c r="J1" s="117"/>
      <c r="K1" s="117"/>
      <c r="L1" s="117"/>
      <c r="M1" s="117"/>
      <c r="N1" s="117"/>
      <c r="O1" s="117"/>
      <c r="P1" s="117"/>
      <c r="Q1" s="117"/>
      <c r="R1" s="117"/>
      <c r="S1" s="117"/>
      <c r="T1" s="117"/>
      <c r="U1" s="117"/>
    </row>
    <row r="2" spans="1:21" ht="21.75" customHeight="1" x14ac:dyDescent="0.25">
      <c r="A2" s="8"/>
      <c r="B2" s="8"/>
      <c r="C2" s="8"/>
      <c r="D2" s="8"/>
      <c r="E2" s="9"/>
      <c r="F2" s="10"/>
      <c r="S2" s="118" t="s">
        <v>0</v>
      </c>
      <c r="T2" s="118"/>
      <c r="U2" s="118"/>
    </row>
    <row r="3" spans="1:21" ht="31.7" customHeight="1" x14ac:dyDescent="0.25">
      <c r="A3" s="133" t="s">
        <v>19</v>
      </c>
      <c r="B3" s="151" t="s">
        <v>20</v>
      </c>
      <c r="C3" s="133" t="s">
        <v>2</v>
      </c>
      <c r="D3" s="151" t="s">
        <v>21</v>
      </c>
      <c r="E3" s="151" t="s">
        <v>22</v>
      </c>
      <c r="F3" s="139" t="s">
        <v>23</v>
      </c>
      <c r="G3" s="140"/>
      <c r="H3" s="141"/>
      <c r="I3" s="132" t="s">
        <v>7</v>
      </c>
      <c r="J3" s="152" t="s">
        <v>8</v>
      </c>
      <c r="K3" s="155" t="s">
        <v>13</v>
      </c>
      <c r="L3" s="156"/>
      <c r="M3" s="156"/>
      <c r="N3" s="156"/>
      <c r="O3" s="156"/>
      <c r="P3" s="156"/>
      <c r="Q3" s="156"/>
      <c r="R3" s="156"/>
      <c r="S3" s="157"/>
      <c r="T3" s="151" t="s">
        <v>24</v>
      </c>
      <c r="U3" s="151" t="s">
        <v>18</v>
      </c>
    </row>
    <row r="4" spans="1:21" ht="32.25" customHeight="1" x14ac:dyDescent="0.25">
      <c r="A4" s="134"/>
      <c r="B4" s="151"/>
      <c r="C4" s="134"/>
      <c r="D4" s="151"/>
      <c r="E4" s="151"/>
      <c r="F4" s="136" t="s">
        <v>3</v>
      </c>
      <c r="G4" s="139" t="s">
        <v>4</v>
      </c>
      <c r="H4" s="141"/>
      <c r="I4" s="160"/>
      <c r="J4" s="153"/>
      <c r="K4" s="155" t="s">
        <v>9</v>
      </c>
      <c r="L4" s="156"/>
      <c r="M4" s="156"/>
      <c r="N4" s="157"/>
      <c r="O4" s="156" t="s">
        <v>10</v>
      </c>
      <c r="P4" s="156"/>
      <c r="Q4" s="156"/>
      <c r="R4" s="156"/>
      <c r="S4" s="157"/>
      <c r="T4" s="151"/>
      <c r="U4" s="151"/>
    </row>
    <row r="5" spans="1:21" ht="27" customHeight="1" x14ac:dyDescent="0.25">
      <c r="A5" s="134"/>
      <c r="B5" s="151"/>
      <c r="C5" s="134"/>
      <c r="D5" s="133"/>
      <c r="E5" s="133"/>
      <c r="F5" s="137"/>
      <c r="G5" s="144" t="s">
        <v>5</v>
      </c>
      <c r="H5" s="144" t="s">
        <v>6</v>
      </c>
      <c r="I5" s="160"/>
      <c r="J5" s="153"/>
      <c r="K5" s="133" t="s">
        <v>11</v>
      </c>
      <c r="L5" s="133" t="s">
        <v>27</v>
      </c>
      <c r="M5" s="133" t="s">
        <v>12</v>
      </c>
      <c r="N5" s="133" t="s">
        <v>26</v>
      </c>
      <c r="O5" s="158" t="s">
        <v>14</v>
      </c>
      <c r="P5" s="151" t="s">
        <v>25</v>
      </c>
      <c r="Q5" s="151"/>
      <c r="R5" s="151"/>
      <c r="S5" s="151"/>
      <c r="T5" s="133"/>
      <c r="U5" s="133"/>
    </row>
    <row r="6" spans="1:21" s="7" customFormat="1" ht="62.45" customHeight="1" x14ac:dyDescent="0.25">
      <c r="A6" s="135"/>
      <c r="B6" s="151"/>
      <c r="C6" s="135"/>
      <c r="D6" s="133"/>
      <c r="E6" s="133"/>
      <c r="F6" s="138"/>
      <c r="G6" s="144"/>
      <c r="H6" s="144"/>
      <c r="I6" s="161"/>
      <c r="J6" s="154"/>
      <c r="K6" s="135"/>
      <c r="L6" s="135"/>
      <c r="M6" s="135"/>
      <c r="N6" s="135"/>
      <c r="O6" s="159"/>
      <c r="P6" s="30" t="s">
        <v>15</v>
      </c>
      <c r="Q6" s="30" t="s">
        <v>4</v>
      </c>
      <c r="R6" s="30" t="s">
        <v>16</v>
      </c>
      <c r="S6" s="30" t="s">
        <v>17</v>
      </c>
      <c r="T6" s="133"/>
      <c r="U6" s="133"/>
    </row>
    <row r="7" spans="1:21" s="7" customFormat="1" ht="32.1" customHeight="1" x14ac:dyDescent="0.25">
      <c r="A7" s="99" t="s">
        <v>1</v>
      </c>
      <c r="B7" s="99"/>
      <c r="C7" s="99"/>
      <c r="D7" s="99"/>
      <c r="E7" s="99"/>
      <c r="F7" s="145" t="s">
        <v>49</v>
      </c>
      <c r="G7" s="146"/>
      <c r="H7" s="147"/>
      <c r="I7" s="26"/>
      <c r="J7" s="38"/>
      <c r="K7" s="31">
        <f>COUNTIF(K10:K14,"v")</f>
        <v>0</v>
      </c>
      <c r="L7" s="31">
        <f>COUNTIF(L10:L14,"v")</f>
        <v>0</v>
      </c>
      <c r="M7" s="31">
        <f>COUNTIF(M10:M14,"v")</f>
        <v>0</v>
      </c>
      <c r="N7" s="31">
        <f>COUNTIF(N10:N14,"v")</f>
        <v>0</v>
      </c>
      <c r="O7" s="31">
        <f>COUNTIF(O10:O14,"v")</f>
        <v>0</v>
      </c>
      <c r="P7" s="31">
        <f>COUNTIF(P10:P17,"v")</f>
        <v>3</v>
      </c>
      <c r="Q7" s="31">
        <f>COUNTIF(Q10:Q14,"v")</f>
        <v>0</v>
      </c>
      <c r="R7" s="31">
        <f>COUNTIF(R10:R14,"v")</f>
        <v>0</v>
      </c>
      <c r="S7" s="31">
        <f>COUNTIF(S10:S14,"v")</f>
        <v>1</v>
      </c>
      <c r="T7" s="1"/>
      <c r="U7" s="2"/>
    </row>
    <row r="8" spans="1:21" s="23" customFormat="1" ht="26.45" customHeight="1" x14ac:dyDescent="0.25">
      <c r="A8" s="142" t="s">
        <v>38</v>
      </c>
      <c r="B8" s="143"/>
      <c r="C8" s="143"/>
      <c r="D8" s="143"/>
      <c r="E8" s="20"/>
      <c r="F8" s="148" t="s">
        <v>40</v>
      </c>
      <c r="G8" s="149"/>
      <c r="H8" s="150"/>
      <c r="I8" s="21"/>
      <c r="J8" s="28"/>
      <c r="K8" s="11"/>
      <c r="L8" s="11"/>
      <c r="M8" s="11"/>
      <c r="N8" s="11"/>
      <c r="O8" s="11"/>
      <c r="P8" s="11"/>
      <c r="Q8" s="11"/>
      <c r="R8" s="11"/>
      <c r="S8" s="11"/>
      <c r="T8" s="12"/>
      <c r="U8" s="19"/>
    </row>
    <row r="9" spans="1:21" s="24" customFormat="1" ht="27" customHeight="1" x14ac:dyDescent="0.25">
      <c r="A9" s="53" t="s">
        <v>39</v>
      </c>
      <c r="B9" s="54"/>
      <c r="C9" s="54"/>
      <c r="D9" s="55"/>
      <c r="E9" s="22"/>
      <c r="F9" s="148" t="s">
        <v>40</v>
      </c>
      <c r="G9" s="149"/>
      <c r="H9" s="150"/>
      <c r="I9" s="27"/>
      <c r="J9" s="29"/>
      <c r="K9" s="18">
        <f>COUNTIF(K10:K14,"v")</f>
        <v>0</v>
      </c>
      <c r="L9" s="18">
        <f>COUNTIF(L10:L14,"v")</f>
        <v>0</v>
      </c>
      <c r="M9" s="18">
        <f>COUNTIF(M10:M14,"v")</f>
        <v>0</v>
      </c>
      <c r="N9" s="18">
        <f>COUNTIF(N10:N14,"v")</f>
        <v>0</v>
      </c>
      <c r="O9" s="18">
        <f>COUNTIF(O10:O14,"v")</f>
        <v>0</v>
      </c>
      <c r="P9" s="18">
        <f ca="1">COUNTIF(P9:P10,"v")</f>
        <v>0</v>
      </c>
      <c r="Q9" s="18">
        <f>COUNTIF(Q10:Q14,"v")</f>
        <v>0</v>
      </c>
      <c r="R9" s="18">
        <f>COUNTIF(R10:R14,"v")</f>
        <v>0</v>
      </c>
      <c r="S9" s="18">
        <f>COUNTIF(S10:S10,"v")</f>
        <v>1</v>
      </c>
      <c r="T9" s="25"/>
      <c r="U9" s="18">
        <f>COUNTIF(U10:U14,"v")</f>
        <v>0</v>
      </c>
    </row>
    <row r="10" spans="1:21" s="7" customFormat="1" ht="162.4" customHeight="1" x14ac:dyDescent="0.25">
      <c r="A10" s="13"/>
      <c r="B10" s="46" t="s">
        <v>28</v>
      </c>
      <c r="C10" s="47" t="s">
        <v>29</v>
      </c>
      <c r="D10" s="48" t="s">
        <v>30</v>
      </c>
      <c r="E10" s="49" t="s">
        <v>31</v>
      </c>
      <c r="F10" s="34"/>
      <c r="G10" s="14"/>
      <c r="H10" s="35"/>
      <c r="I10" s="50" t="s">
        <v>58</v>
      </c>
      <c r="J10" s="39"/>
      <c r="K10" s="45"/>
      <c r="L10" s="40"/>
      <c r="M10" s="44"/>
      <c r="N10" s="44"/>
      <c r="O10" s="40"/>
      <c r="P10" s="41"/>
      <c r="Q10" s="41"/>
      <c r="R10" s="41"/>
      <c r="S10" s="52" t="s">
        <v>36</v>
      </c>
      <c r="T10" s="43"/>
      <c r="U10" s="17"/>
    </row>
    <row r="11" spans="1:21" s="23" customFormat="1" ht="26.45" customHeight="1" x14ac:dyDescent="0.25">
      <c r="A11" s="142" t="s">
        <v>50</v>
      </c>
      <c r="B11" s="143"/>
      <c r="C11" s="143"/>
      <c r="D11" s="143"/>
      <c r="E11" s="20"/>
      <c r="F11" s="148" t="s">
        <v>51</v>
      </c>
      <c r="G11" s="149"/>
      <c r="H11" s="150"/>
      <c r="I11" s="21"/>
      <c r="J11" s="28"/>
      <c r="K11" s="11"/>
      <c r="L11" s="11"/>
      <c r="M11" s="11"/>
      <c r="N11" s="11"/>
      <c r="O11" s="11"/>
      <c r="P11" s="11"/>
      <c r="Q11" s="11"/>
      <c r="R11" s="11"/>
      <c r="S11" s="11"/>
      <c r="T11" s="12"/>
      <c r="U11" s="19"/>
    </row>
    <row r="12" spans="1:21" s="24" customFormat="1" ht="27" customHeight="1" x14ac:dyDescent="0.25">
      <c r="A12" s="32" t="s">
        <v>37</v>
      </c>
      <c r="B12" s="33"/>
      <c r="C12" s="33"/>
      <c r="D12" s="36"/>
      <c r="E12" s="22"/>
      <c r="F12" s="148" t="s">
        <v>42</v>
      </c>
      <c r="G12" s="149"/>
      <c r="H12" s="150"/>
      <c r="I12" s="27"/>
      <c r="J12" s="29"/>
      <c r="K12" s="18">
        <f t="shared" ref="K12:S12" si="0">COUNTIF(K13:K19,"v")</f>
        <v>0</v>
      </c>
      <c r="L12" s="18">
        <f t="shared" si="0"/>
        <v>0</v>
      </c>
      <c r="M12" s="18">
        <f t="shared" si="0"/>
        <v>0</v>
      </c>
      <c r="N12" s="18">
        <f t="shared" si="0"/>
        <v>0</v>
      </c>
      <c r="O12" s="18">
        <f t="shared" si="0"/>
        <v>0</v>
      </c>
      <c r="P12" s="18">
        <f>COUNTIF(P13:P14,"v")</f>
        <v>2</v>
      </c>
      <c r="Q12" s="18">
        <f t="shared" si="0"/>
        <v>0</v>
      </c>
      <c r="R12" s="18">
        <f t="shared" si="0"/>
        <v>0</v>
      </c>
      <c r="S12" s="18">
        <f t="shared" si="0"/>
        <v>0</v>
      </c>
      <c r="T12" s="25"/>
      <c r="U12" s="18">
        <f>COUNTIF(U13:U19,"v")</f>
        <v>0</v>
      </c>
    </row>
    <row r="13" spans="1:21" s="7" customFormat="1" ht="150" customHeight="1" x14ac:dyDescent="0.25">
      <c r="A13" s="15"/>
      <c r="B13" s="15" t="s">
        <v>32</v>
      </c>
      <c r="C13" s="51"/>
      <c r="D13" s="51" t="s">
        <v>46</v>
      </c>
      <c r="E13" s="49" t="s">
        <v>33</v>
      </c>
      <c r="F13" s="34">
        <v>19500000</v>
      </c>
      <c r="G13" s="14"/>
      <c r="H13" s="35"/>
      <c r="I13" s="37" t="s">
        <v>54</v>
      </c>
      <c r="J13" s="39"/>
      <c r="K13" s="45"/>
      <c r="L13" s="40"/>
      <c r="M13" s="44"/>
      <c r="N13" s="44"/>
      <c r="O13" s="40"/>
      <c r="P13" s="52" t="s">
        <v>36</v>
      </c>
      <c r="Q13" s="41"/>
      <c r="R13" s="41"/>
      <c r="S13" s="42"/>
      <c r="T13" s="43"/>
      <c r="U13" s="17"/>
    </row>
    <row r="14" spans="1:21" s="7" customFormat="1" ht="145.9" customHeight="1" x14ac:dyDescent="0.25">
      <c r="A14" s="15"/>
      <c r="B14" s="15" t="s">
        <v>34</v>
      </c>
      <c r="C14" s="51"/>
      <c r="D14" s="51" t="s">
        <v>47</v>
      </c>
      <c r="E14" s="49" t="s">
        <v>35</v>
      </c>
      <c r="F14" s="34">
        <v>8600000</v>
      </c>
      <c r="G14" s="14"/>
      <c r="H14" s="35"/>
      <c r="I14" s="37" t="s">
        <v>53</v>
      </c>
      <c r="J14" s="39"/>
      <c r="K14" s="45"/>
      <c r="L14" s="40"/>
      <c r="M14" s="44"/>
      <c r="N14" s="44"/>
      <c r="O14" s="40"/>
      <c r="P14" s="52" t="s">
        <v>36</v>
      </c>
      <c r="Q14" s="41"/>
      <c r="R14" s="41"/>
      <c r="S14" s="42"/>
      <c r="T14" s="43"/>
      <c r="U14" s="17"/>
    </row>
    <row r="15" spans="1:21" s="23" customFormat="1" ht="26.45" customHeight="1" x14ac:dyDescent="0.25">
      <c r="A15" s="142" t="s">
        <v>43</v>
      </c>
      <c r="B15" s="143"/>
      <c r="C15" s="143"/>
      <c r="D15" s="143"/>
      <c r="E15" s="20"/>
      <c r="F15" s="148" t="s">
        <v>45</v>
      </c>
      <c r="G15" s="149"/>
      <c r="H15" s="150"/>
      <c r="I15" s="21"/>
      <c r="J15" s="28"/>
      <c r="K15" s="11"/>
      <c r="L15" s="11"/>
      <c r="M15" s="11"/>
      <c r="N15" s="11"/>
      <c r="O15" s="11"/>
      <c r="P15" s="11"/>
      <c r="Q15" s="11"/>
      <c r="R15" s="11"/>
      <c r="S15" s="11"/>
      <c r="T15" s="12"/>
      <c r="U15" s="19"/>
    </row>
    <row r="16" spans="1:21" s="24" customFormat="1" ht="27" customHeight="1" x14ac:dyDescent="0.25">
      <c r="A16" s="53" t="s">
        <v>44</v>
      </c>
      <c r="B16" s="33"/>
      <c r="C16" s="33"/>
      <c r="D16" s="36"/>
      <c r="E16" s="22"/>
      <c r="F16" s="148" t="s">
        <v>40</v>
      </c>
      <c r="G16" s="149"/>
      <c r="H16" s="150"/>
      <c r="I16" s="27"/>
      <c r="J16" s="29"/>
      <c r="K16" s="18">
        <f t="shared" ref="K16:S16" si="1">COUNTIF(K17:K23,"v")</f>
        <v>0</v>
      </c>
      <c r="L16" s="18">
        <f t="shared" si="1"/>
        <v>0</v>
      </c>
      <c r="M16" s="18">
        <f t="shared" si="1"/>
        <v>0</v>
      </c>
      <c r="N16" s="18">
        <f t="shared" si="1"/>
        <v>0</v>
      </c>
      <c r="O16" s="18">
        <f t="shared" si="1"/>
        <v>0</v>
      </c>
      <c r="P16" s="18">
        <f t="shared" si="1"/>
        <v>1</v>
      </c>
      <c r="Q16" s="18">
        <f t="shared" si="1"/>
        <v>0</v>
      </c>
      <c r="R16" s="18">
        <f t="shared" si="1"/>
        <v>0</v>
      </c>
      <c r="S16" s="18">
        <f t="shared" si="1"/>
        <v>0</v>
      </c>
      <c r="T16" s="25"/>
      <c r="U16" s="18">
        <f>COUNTIF(U17:U23,"v")</f>
        <v>0</v>
      </c>
    </row>
    <row r="17" spans="1:21" s="7" customFormat="1" ht="117.75" customHeight="1" x14ac:dyDescent="0.25">
      <c r="A17" s="13"/>
      <c r="B17" s="58" t="s">
        <v>41</v>
      </c>
      <c r="C17" s="13"/>
      <c r="D17" s="51" t="s">
        <v>48</v>
      </c>
      <c r="E17" s="49" t="s">
        <v>57</v>
      </c>
      <c r="F17" s="34">
        <v>-12000</v>
      </c>
      <c r="G17" s="56"/>
      <c r="H17" s="57"/>
      <c r="I17" s="59" t="s">
        <v>55</v>
      </c>
      <c r="J17" s="39"/>
      <c r="K17" s="45"/>
      <c r="L17" s="40"/>
      <c r="M17" s="44"/>
      <c r="N17" s="44"/>
      <c r="O17" s="40"/>
      <c r="P17" s="41" t="s">
        <v>52</v>
      </c>
      <c r="Q17" s="41"/>
      <c r="R17" s="41"/>
      <c r="S17" s="42"/>
      <c r="T17" s="43"/>
      <c r="U17" s="17"/>
    </row>
  </sheetData>
  <autoFilter ref="A6:U14" xr:uid="{00000000-0009-0000-0000-000000000000}"/>
  <mergeCells count="36">
    <mergeCell ref="A11:D11"/>
    <mergeCell ref="F11:H11"/>
    <mergeCell ref="F16:H16"/>
    <mergeCell ref="A15:D15"/>
    <mergeCell ref="F15:H15"/>
    <mergeCell ref="F12:H12"/>
    <mergeCell ref="M5:M6"/>
    <mergeCell ref="K4:N4"/>
    <mergeCell ref="N5:N6"/>
    <mergeCell ref="G4:H4"/>
    <mergeCell ref="I3:I6"/>
    <mergeCell ref="L5:L6"/>
    <mergeCell ref="F9:H9"/>
    <mergeCell ref="A1:U1"/>
    <mergeCell ref="A3:A6"/>
    <mergeCell ref="B3:B6"/>
    <mergeCell ref="D3:D6"/>
    <mergeCell ref="E3:E6"/>
    <mergeCell ref="S2:U2"/>
    <mergeCell ref="U3:U6"/>
    <mergeCell ref="T3:T6"/>
    <mergeCell ref="J3:J6"/>
    <mergeCell ref="K3:S3"/>
    <mergeCell ref="O4:S4"/>
    <mergeCell ref="O5:O6"/>
    <mergeCell ref="P5:S5"/>
    <mergeCell ref="H5:H6"/>
    <mergeCell ref="K5:K6"/>
    <mergeCell ref="C3:C6"/>
    <mergeCell ref="F4:F6"/>
    <mergeCell ref="F3:H3"/>
    <mergeCell ref="A8:D8"/>
    <mergeCell ref="A7:E7"/>
    <mergeCell ref="G5:G6"/>
    <mergeCell ref="F7:H7"/>
    <mergeCell ref="F8:H8"/>
  </mergeCells>
  <phoneticPr fontId="32" type="noConversion"/>
  <printOptions horizontalCentered="1"/>
  <pageMargins left="0.19685039370078741" right="0.19685039370078741" top="0.59055118110236227" bottom="0.59055118110236227" header="0.43307086614173229" footer="0.23622047244094491"/>
  <pageSetup paperSize="9" scale="50" fitToHeight="0" orientation="landscape" blackAndWhite="1" r:id="rId1"/>
  <headerFooter alignWithMargins="0">
    <oddFooter>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具名範圍</vt:lpstr>
      </vt:variant>
      <vt:variant>
        <vt:i4>7</vt:i4>
      </vt:variant>
    </vt:vector>
  </HeadingPairs>
  <TitlesOfParts>
    <vt:vector size="11" baseType="lpstr">
      <vt:lpstr>115請查填</vt:lpstr>
      <vt:lpstr>114供參</vt:lpstr>
      <vt:lpstr>113供參</vt:lpstr>
      <vt:lpstr>112供參</vt:lpstr>
      <vt:lpstr>'112供參'!Print_Area</vt:lpstr>
      <vt:lpstr>'114供參'!Print_Area</vt:lpstr>
      <vt:lpstr>'115請查填'!Print_Area</vt:lpstr>
      <vt:lpstr>'112供參'!Print_Titles</vt:lpstr>
      <vt:lpstr>'113供參'!Print_Titles</vt:lpstr>
      <vt:lpstr>'114供參'!Print_Titles</vt:lpstr>
      <vt:lpstr>'115請查填'!Print_Titles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J633</dc:creator>
  <cp:lastModifiedBy>林冠廷</cp:lastModifiedBy>
  <cp:lastPrinted>2023-04-12T01:55:59Z</cp:lastPrinted>
  <dcterms:created xsi:type="dcterms:W3CDTF">2012-03-02T06:45:57Z</dcterms:created>
  <dcterms:modified xsi:type="dcterms:W3CDTF">2026-10-05T02:56:11Z</dcterms:modified>
</cp:coreProperties>
</file>